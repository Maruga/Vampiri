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91C6FE9C-1F83-4568-8B27-6A1666CA9DA1}" xr6:coauthVersionLast="47" xr6:coauthVersionMax="47" xr10:uidLastSave="{00000000-0000-0000-0000-000000000000}"/>
  <bookViews>
    <workbookView xWindow="24084" yWindow="1116" windowWidth="29148" windowHeight="15228" xr2:uid="{3C69CAEB-EF54-41D7-B74D-5F784B8051C2}"/>
  </bookViews>
  <sheets>
    <sheet name="_Brujah" sheetId="14" r:id="rId1"/>
    <sheet name="Scheda V3" sheetId="1" r:id="rId2"/>
    <sheet name="Brujah" sheetId="9" r:id="rId3"/>
    <sheet name="Tempo" sheetId="13" r:id="rId4"/>
    <sheet name="Dadi" sheetId="7" r:id="rId5"/>
    <sheet name="Discipline" sheetId="10" r:id="rId6"/>
    <sheet name="BackGround" sheetId="12" r:id="rId7"/>
    <sheet name="Natura" sheetId="3" r:id="rId8"/>
    <sheet name="Specialità" sheetId="11" r:id="rId9"/>
    <sheet name="Scheda V5" sheetId="8" r:id="rId10"/>
    <sheet name="Azioni" sheetId="5" r:id="rId11"/>
    <sheet name="Esperienza" sheetId="4" r:id="rId12"/>
    <sheet name="Utilizo PE" sheetId="6" r:id="rId13"/>
    <sheet name="Attacco" sheetId="2"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4" l="1"/>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<sst xmlns="http://schemas.openxmlformats.org/spreadsheetml/2006/main" count="2113" uniqueCount="1107">
  <si>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</si>
  <si>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</si>
  <si>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</si>
  <si>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</si>
  <si>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</si>
  <si>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</si>
  <si>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</si>
  <si>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</si>
  <si>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</si>
  <si>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</si>
  <si>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</si>
  <si>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</si>
  <si>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</si>
  <si>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</si>
  <si>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</si>
  <si>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</si>
  <si>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</si>
  <si>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</si>
  <si>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</si>
  <si>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</si>
  <si>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</si>
  <si>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</si>
  <si>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</si>
  <si>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</si>
  <si>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</si>
  <si>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</si>
  <si>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</si>
  <si>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</si>
  <si>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</si>
  <si>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</si>
  <si>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</si>
  <si>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</si>
  <si>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</si>
  <si>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</si>
  <si>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</si>
  <si>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</si>
  <si>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</si>
  <si>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</si>
  <si>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</si>
  <si>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</si>
  <si>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</si>
  <si>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</si>
  <si>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</si>
  <si>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</si>
  <si>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</si>
  <si>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</si>
  <si>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</si>
  <si>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</si>
  <si>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</si>
  <si>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</si>
  <si>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</si>
  <si>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</si>
  <si>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</si>
  <si>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</si>
  <si>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</si>
  <si>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</si>
  <si>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</si>
  <si>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</si>
  <si>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</si>
  <si>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</si>
  <si>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</si>
  <si>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</si>
  <si>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</si>
  <si>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</si>
  <si>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</si>
  <si>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</si>
  <si>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</si>
  <si>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</si>
  <si>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</si>
  <si>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</si>
  <si>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</si>
  <si>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</si>
  <si>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</si>
  <si>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</si>
  <si>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</si>
  <si>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</si>
  <si>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</si>
  <si>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</si>
  <si>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</si>
  <si>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</si>
  <si>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</si>
  <si>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</si>
  <si>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</si>
  <si>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</si>
  <si>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</si>
  <si>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</si>
  <si>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</si>
  <si>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</si>
  <si>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</si>
  <si>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</si>
  <si>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</si>
  <si>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</si>
  <si>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</si>
  <si>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</si>
  <si>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</si>
  <si>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</si>
  <si>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</si>
  <si>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</si>
  <si>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</si>
  <si>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</si>
  <si>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</si>
  <si>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</si>
  <si>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</si>
  <si>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</si>
  <si>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</si>
  <si>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</si>
  <si>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</si>
  <si>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</si>
  <si>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</si>
  <si>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</si>
  <si>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</si>
  <si>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</si>
  <si>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</si>
  <si>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</si>
  <si>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</si>
  <si>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</si>
  <si>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</si>
  <si>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</si>
  <si>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</si>
  <si>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</si>
  <si>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</si>
  <si>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</si>
  <si>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</si>
  <si>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</si>
  <si>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</si>
  <si>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</si>
  <si>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</si>
  <si>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</si>
  <si>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</si>
  <si>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</si>
  <si>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</si>
  <si>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</si>
  <si>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</si>
  <si>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</si>
  <si>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</si>
  <si>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</si>
  <si>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</si>
  <si>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</si>
  <si>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</si>
  <si>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</si>
  <si>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</si>
  <si>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</si>
  <si>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</si>
  <si>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</si>
  <si>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</si>
  <si>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</si>
  <si>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</si>
  <si>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</si>
  <si>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</si>
  <si>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</si>
  <si>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</si>
  <si>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</si>
  <si>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</si>
  <si>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</si>
  <si>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</si>
  <si>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</si>
  <si>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</si>
  <si>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</si>
  <si>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</si>
  <si>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</si>
  <si>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</si>
  <si>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</si>
  <si>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</si>
  <si>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</si>
  <si>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</si>
  <si>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</si>
  <si>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</si>
  <si>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</si>
  <si>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</si>
  <si>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</si>
  <si>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</si>
  <si>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</si>
  <si>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</si>
  <si>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</si>
  <si>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</si>
  <si>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</si>
  <si>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</si>
  <si>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</si>
  <si>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</si>
  <si>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</si>
  <si>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</si>
  <si>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</si>
  <si>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</si>
  <si>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</si>
  <si>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</si>
  <si>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</si>
  <si>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</si>
  <si>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</si>
  <si>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</si>
  <si>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</si>
  <si>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</si>
  <si>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</si>
  <si>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</si>
  <si>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</si>
  <si>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</si>
  <si>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</si>
  <si>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</si>
  <si>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</si>
  <si>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</si>
  <si>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</si>
  <si>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</si>
  <si>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</si>
  <si>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</si>
  <si>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</si>
  <si>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</si>
  <si>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</si>
  <si>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</si>
  <si>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</si>
  <si>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</si>
  <si>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</si>
  <si>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</si>
  <si>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</si>
  <si>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</si>
  <si>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</si>
  <si>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</si>
  <si>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</si>
  <si>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</si>
  <si>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</si>
  <si>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</si>
  <si>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</si>
  <si>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</si>
  <si>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</si>
  <si>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</si>
  <si>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</si>
  <si>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</si>
  <si>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</si>
  <si>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</si>
  <si>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</si>
  <si>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</si>
  <si>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</si>
  <si>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</si>
  <si>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</si>
  <si>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</si>
  <si>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</si>
  <si>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</si>
  <si>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</si>
  <si>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</si>
  <si>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</si>
  <si>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</si>
  <si>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</si>
  <si>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</si>
  <si>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</si>
  <si>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</si>
  <si>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</si>
  <si>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</si>
  <si>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</si>
  <si>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</si>
  <si>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</si>
  <si>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</si>
  <si>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</si>
  <si>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</si>
  <si>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</si>
  <si>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</si>
  <si>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</si>
  <si>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</si>
  <si>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</si>
  <si>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</si>
  <si>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</si>
  <si>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</si>
  <si>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</si>
  <si>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</si>
  <si>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</si>
  <si>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</si>
  <si>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</si>
  <si>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</si>
  <si>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</si>
  <si>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</si>
  <si>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</si>
  <si>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</si>
  <si>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</si>
  <si>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</si>
  <si>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</si>
  <si>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</si>
  <si>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</si>
  <si>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</si>
  <si>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</si>
  <si>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</si>
  <si>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</si>
  <si>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</si>
  <si>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</si>
  <si>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</si>
  <si>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</si>
  <si>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</si>
  <si>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</si>
  <si>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</si>
  <si>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</si>
  <si>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</si>
  <si>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</si>
  <si>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</si>
  <si>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</si>
  <si>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</si>
  <si>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</si>
  <si>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</si>
  <si>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</si>
  <si>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</si>
  <si>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</si>
  <si>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</si>
  <si>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</si>
  <si>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</si>
  <si>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</si>
  <si>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</si>
  <si>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</si>
  <si>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</si>
  <si>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</si>
  <si>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</si>
  <si>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</si>
  <si>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</si>
  <si>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</si>
  <si>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</si>
  <si>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</si>
  <si>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</si>
  <si>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</si>
  <si>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</si>
  <si>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</si>
  <si>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</si>
  <si>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</si>
  <si>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</si>
  <si>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</si>
  <si>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</si>
  <si>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</si>
  <si>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</si>
  <si>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</si>
  <si>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</si>
  <si>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</si>
  <si>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</si>
  <si>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</si>
  <si>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</si>
  <si>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</si>
  <si>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</si>
  <si>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</si>
  <si>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</si>
  <si>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</si>
  <si>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</si>
  <si>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</si>
  <si>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</si>
  <si>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</si>
  <si>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</si>
  <si>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</si>
  <si>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</si>
  <si>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</si>
  <si>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</si>
  <si>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</si>
  <si>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</si>
  <si>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</si>
  <si>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</si>
  <si>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</si>
  <si>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</si>
  <si>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</si>
  <si>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</si>
  <si>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</si>
  <si>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</si>
  <si>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</si>
  <si>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</si>
  <si>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</si>
  <si>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</si>
  <si>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</si>
  <si>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</si>
  <si>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</si>
  <si>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</si>
  <si>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</si>
  <si>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</si>
  <si>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</si>
  <si>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</si>
  <si>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</si>
  <si>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</si>
  <si>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</si>
  <si>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</si>
  <si>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</si>
  <si>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</si>
  <si>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</si>
  <si>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</si>
  <si>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</si>
  <si>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</si>
  <si>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</si>
  <si>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</si>
  <si>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</si>
  <si>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</si>
  <si>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</si>
  <si>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</si>
  <si>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</si>
  <si>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</si>
  <si>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</si>
  <si>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</si>
  <si>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</si>
  <si>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</si>
  <si>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</si>
  <si>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</si>
  <si>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</si>
  <si>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</si>
  <si>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</si>
  <si>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</si>
  <si>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</si>
  <si>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</si>
  <si>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</si>
  <si>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</si>
  <si>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</si>
  <si>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</si>
  <si>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</si>
  <si>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</si>
  <si>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</si>
  <si>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</si>
  <si>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</si>
  <si>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</si>
  <si>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</si>
  <si>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</si>
  <si>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</si>
  <si>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</si>
  <si>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</si>
  <si>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</si>
  <si>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</si>
  <si>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</si>
  <si>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</si>
  <si>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</si>
  <si>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</si>
  <si>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</si>
  <si>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</si>
  <si>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</si>
  <si>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</si>
  <si>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</si>
  <si>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</si>
  <si>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</si>
  <si>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</si>
  <si>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</si>
  <si>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</si>
  <si>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</si>
  <si>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</si>
  <si>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</si>
  <si>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</si>
  <si>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</si>
  <si>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</si>
  <si>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</si>
  <si>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</si>
  <si>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</si>
  <si>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</si>
  <si>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</si>
  <si>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</si>
  <si>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</si>
  <si>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</si>
  <si>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</si>
  <si>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</si>
  <si>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</si>
  <si>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</si>
  <si>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</si>
  <si>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</si>
  <si>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</si>
  <si>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</si>
  <si>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</si>
  <si>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</si>
  <si>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</si>
  <si>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</si>
  <si>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</si>
  <si>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</si>
  <si>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</si>
  <si>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</si>
  <si>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</si>
  <si>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</si>
  <si>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</si>
  <si>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</si>
  <si>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</si>
  <si>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</si>
  <si>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</si>
  <si>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</si>
  <si>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</si>
  <si>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</si>
  <si>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</si>
  <si>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</si>
  <si>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</si>
  <si>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</si>
  <si>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</si>
  <si>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</si>
  <si>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</si>
  <si>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</si>
  <si>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</si>
  <si>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</si>
  <si>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</si>
  <si>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</si>
  <si>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</si>
  <si>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</si>
  <si>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</si>
  <si>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</si>
  <si>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</si>
  <si>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</si>
  <si>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</si>
  <si>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</si>
  <si>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</si>
  <si>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</si>
  <si>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</si>
  <si>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</si>
  <si>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</si>
  <si>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</si>
  <si>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</si>
  <si>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</si>
  <si>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</si>
  <si>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</si>
  <si>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</si>
  <si>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</si>
  <si>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</si>
  <si>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</si>
  <si>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</si>
  <si>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</si>
  <si>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</si>
  <si>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</si>
  <si>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</si>
  <si>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r>
      <t>|</t>
    </r>
    <r>
      <rPr>
        <sz val="10"/>
        <color rgb="FF569CD6"/>
        <rFont val="Consolas"/>
        <family val="3"/>
      </rPr>
      <t xml:space="preserve"> **Natura**                           |</t>
    </r>
    <r>
      <rPr>
        <sz val="10"/>
        <color rgb="FFD4D4D4"/>
        <rFont val="Consolas"/>
        <family val="3"/>
      </rPr>
      <t xml:space="preserve"> **Descrizione sintetica**                                        |</t>
    </r>
    <r>
      <rPr>
        <sz val="10"/>
        <color rgb="FF6A9955"/>
        <rFont val="Consolas"/>
        <family val="3"/>
      </rPr>
      <t xml:space="preserve"> **Come recupera Volontà**                                         |</t>
    </r>
  </si>
  <si>
    <r>
      <t>|</t>
    </r>
    <r>
      <rPr>
        <sz val="10"/>
        <color rgb="FF569CD6"/>
        <rFont val="Consolas"/>
        <family val="3"/>
      </rPr>
      <t xml:space="preserve"> ------------------------------------ |</t>
    </r>
    <r>
      <rPr>
        <sz val="10"/>
        <color rgb="FFD4D4D4"/>
        <rFont val="Consolas"/>
        <family val="3"/>
      </rPr>
      <t xml:space="preserve"> ---------------------------------------------------------------- |</t>
    </r>
    <r>
      <rPr>
        <sz val="10"/>
        <color rgb="FF6A9955"/>
        <rFont val="Consolas"/>
        <family val="3"/>
      </rPr>
      <t xml:space="preserve"> ----------------------------------------------------------------- |</t>
    </r>
  </si>
  <si>
    <r>
      <t>|</t>
    </r>
    <r>
      <rPr>
        <sz val="10"/>
        <color rgb="FF569CD6"/>
        <rFont val="Consolas"/>
        <family val="3"/>
      </rPr>
      <t xml:space="preserve"> **Architect** (Costruttore)          |</t>
    </r>
    <r>
      <rPr>
        <sz val="10"/>
        <color rgb="FFD4D4D4"/>
        <rFont val="Consolas"/>
        <family val="3"/>
      </rPr>
      <t xml:space="preserve"> Vuole creare qualcosa di duraturo, che lasci un segno nel mondo. |</t>
    </r>
    <r>
      <rPr>
        <sz val="10"/>
        <color rgb="FF6A9955"/>
        <rFont val="Consolas"/>
        <family val="3"/>
      </rPr>
      <t xml:space="preserve"> Quando crea o contribuisce a qualcosa che resiste al tempo.       |</t>
    </r>
  </si>
  <si>
    <r>
      <t>|</t>
    </r>
    <r>
      <rPr>
        <sz val="10"/>
        <color rgb="FF569CD6"/>
        <rFont val="Consolas"/>
        <family val="3"/>
      </rPr>
      <t xml:space="preserve"> **Autocrat** (Autocrate)             |</t>
    </r>
    <r>
      <rPr>
        <sz val="10"/>
        <color rgb="FFD4D4D4"/>
        <rFont val="Consolas"/>
        <family val="3"/>
      </rPr>
      <t xml:space="preserve"> Deve controllare tutto e tutti.                                  |</t>
    </r>
    <r>
      <rPr>
        <sz val="10"/>
        <color rgb="FF6A9955"/>
        <rFont val="Consolas"/>
        <family val="3"/>
      </rPr>
      <t xml:space="preserve"> Quando domina una situazione o impone la propria autorità.        |</t>
    </r>
  </si>
  <si>
    <r>
      <t>|</t>
    </r>
    <r>
      <rPr>
        <sz val="10"/>
        <color rgb="FF569CD6"/>
        <rFont val="Consolas"/>
        <family val="3"/>
      </rPr>
      <t xml:space="preserve"> **Bon Vivant** (Edonista)            |</t>
    </r>
    <r>
      <rPr>
        <sz val="10"/>
        <color rgb="FFD4D4D4"/>
        <rFont val="Consolas"/>
        <family val="3"/>
      </rPr>
      <t xml:space="preserve"> Vive per il piacere e la gioia del momento.                      |</t>
    </r>
    <r>
      <rPr>
        <sz val="10"/>
        <color rgb="FF6A9955"/>
        <rFont val="Consolas"/>
        <family val="3"/>
      </rPr>
      <t xml:space="preserve"> Quando si gode un piacere intenso o dona felicità ad altri.       |</t>
    </r>
  </si>
  <si>
    <r>
      <t>|</t>
    </r>
    <r>
      <rPr>
        <sz val="10"/>
        <color rgb="FF569CD6"/>
        <rFont val="Consolas"/>
        <family val="3"/>
      </rPr>
      <t xml:space="preserve"> **Bravo** (Prepotente)               |</t>
    </r>
    <r>
      <rPr>
        <sz val="10"/>
        <color rgb="FFD4D4D4"/>
        <rFont val="Consolas"/>
        <family val="3"/>
      </rPr>
      <t xml:space="preserve"> Ama intimidire, controllare o sottomettere gli altri.            |</t>
    </r>
    <r>
      <rPr>
        <sz val="10"/>
        <color rgb="FF6A9955"/>
        <rFont val="Consolas"/>
        <family val="3"/>
      </rPr>
      <t xml:space="preserve"> Quando impone la sua forza o mette qualcuno al proprio posto.     |</t>
    </r>
  </si>
  <si>
    <r>
      <t>|</t>
    </r>
    <r>
      <rPr>
        <sz val="10"/>
        <color rgb="FF569CD6"/>
        <rFont val="Consolas"/>
        <family val="3"/>
      </rPr>
      <t xml:space="preserve"> **Caregiver** (Protettore)           |</t>
    </r>
    <r>
      <rPr>
        <sz val="10"/>
        <color rgb="FFD4D4D4"/>
        <rFont val="Consolas"/>
        <family val="3"/>
      </rPr>
      <t xml:space="preserve"> Vive per aiutare e proteggere gli altri.                         |</t>
    </r>
    <r>
      <rPr>
        <sz val="10"/>
        <color rgb="FF6A9955"/>
        <rFont val="Consolas"/>
        <family val="3"/>
      </rPr>
      <t xml:space="preserve"> Quando cura o salva qualcuno a costo personale.                   |</t>
    </r>
  </si>
  <si>
    <r>
      <t>|</t>
    </r>
    <r>
      <rPr>
        <sz val="10"/>
        <color rgb="FF569CD6"/>
        <rFont val="Consolas"/>
        <family val="3"/>
      </rPr>
      <t xml:space="preserve"> **Celebrant** (Celebrand)            |</t>
    </r>
    <r>
      <rPr>
        <sz val="10"/>
        <color rgb="FFD4D4D4"/>
        <rFont val="Consolas"/>
        <family val="3"/>
      </rPr>
      <t xml:space="preserve"> Ha una passione o fede assoluta in qualcosa.                     |</t>
    </r>
    <r>
      <rPr>
        <sz val="10"/>
        <color rgb="FF6A9955"/>
        <rFont val="Consolas"/>
        <family val="3"/>
      </rPr>
      <t xml:space="preserve"> Quando agisce o combatte per ciò in cui crede.                    |</t>
    </r>
  </si>
  <si>
    <r>
      <t>|</t>
    </r>
    <r>
      <rPr>
        <sz val="10"/>
        <color rgb="FF569CD6"/>
        <rFont val="Consolas"/>
        <family val="3"/>
      </rPr>
      <t xml:space="preserve"> **Child** (Fanciullo)                |</t>
    </r>
    <r>
      <rPr>
        <sz val="10"/>
        <color rgb="FFD4D4D4"/>
        <rFont val="Consolas"/>
        <family val="3"/>
      </rPr>
      <t xml:space="preserve"> Cerca protezione e attenzione; ingenuo, curioso.                 |</t>
    </r>
    <r>
      <rPr>
        <sz val="10"/>
        <color rgb="FF6A9955"/>
        <rFont val="Consolas"/>
        <family val="3"/>
      </rPr>
      <t xml:space="preserve"> Quando riceve protezione o cura da qualcuno.                      |</t>
    </r>
  </si>
  <si>
    <r>
      <t>|</t>
    </r>
    <r>
      <rPr>
        <sz val="10"/>
        <color rgb="FF569CD6"/>
        <rFont val="Consolas"/>
        <family val="3"/>
      </rPr>
      <t xml:space="preserve"> **Competitor** (Competitivo)         |</t>
    </r>
    <r>
      <rPr>
        <sz val="10"/>
        <color rgb="FFD4D4D4"/>
        <rFont val="Consolas"/>
        <family val="3"/>
      </rPr>
      <t xml:space="preserve"> Deve essere sempre il migliore.                                  |</t>
    </r>
    <r>
      <rPr>
        <sz val="10"/>
        <color rgb="FF6A9955"/>
        <rFont val="Consolas"/>
        <family val="3"/>
      </rPr>
      <t xml:space="preserve"> Quando vince o supera qualcuno in una sfida.                      |</t>
    </r>
  </si>
  <si>
    <r>
      <t>|</t>
    </r>
    <r>
      <rPr>
        <sz val="10"/>
        <color rgb="FF569CD6"/>
        <rFont val="Consolas"/>
        <family val="3"/>
      </rPr>
      <t xml:space="preserve"> **Conformist** (Conformista)         |</t>
    </r>
    <r>
      <rPr>
        <sz val="10"/>
        <color rgb="FFD4D4D4"/>
        <rFont val="Consolas"/>
        <family val="3"/>
      </rPr>
      <t xml:space="preserve"> Ha bisogno di appartenere a un gruppo o seguire qualcuno.        |</t>
    </r>
    <r>
      <rPr>
        <sz val="10"/>
        <color rgb="FF6A9955"/>
        <rFont val="Consolas"/>
        <family val="3"/>
      </rPr>
      <t xml:space="preserve"> Quando ottiene approvazione o si integra in un gruppo.            |</t>
    </r>
  </si>
  <si>
    <r>
      <t>|</t>
    </r>
    <r>
      <rPr>
        <sz val="10"/>
        <color rgb="FF569CD6"/>
        <rFont val="Consolas"/>
        <family val="3"/>
      </rPr>
      <t xml:space="preserve"> **Conniver** (Intrigante)            |</t>
    </r>
    <r>
      <rPr>
        <sz val="10"/>
        <color rgb="FFD4D4D4"/>
        <rFont val="Consolas"/>
        <family val="3"/>
      </rPr>
      <t xml:space="preserve"> Manipola per ottenere ciò che vuole.                             |</t>
    </r>
    <r>
      <rPr>
        <sz val="10"/>
        <color rgb="FF6A9955"/>
        <rFont val="Consolas"/>
        <family val="3"/>
      </rPr>
      <t xml:space="preserve"> Quando ottiene vantaggi tramite inganno o furbizia.               |</t>
    </r>
  </si>
  <si>
    <r>
      <t>|</t>
    </r>
    <r>
      <rPr>
        <sz val="10"/>
        <color rgb="FF569CD6"/>
        <rFont val="Consolas"/>
        <family val="3"/>
      </rPr>
      <t xml:space="preserve"> **Curmudgeon** (Brontolone)          |</t>
    </r>
    <r>
      <rPr>
        <sz val="10"/>
        <color rgb="FFD4D4D4"/>
        <rFont val="Consolas"/>
        <family val="3"/>
      </rPr>
      <t xml:space="preserve"> Critico, disilluso, trova difetti in tutto.                      |</t>
    </r>
    <r>
      <rPr>
        <sz val="10"/>
        <color rgb="FF6A9955"/>
        <rFont val="Consolas"/>
        <family val="3"/>
      </rPr>
      <t xml:space="preserve"> Quando dimostra di avere ragione nel suo cinismo.                 |</t>
    </r>
  </si>
  <si>
    <r>
      <t>|</t>
    </r>
    <r>
      <rPr>
        <sz val="10"/>
        <color rgb="FF569CD6"/>
        <rFont val="Consolas"/>
        <family val="3"/>
      </rPr>
      <t xml:space="preserve"> **Deviant** (Deviato)                |</t>
    </r>
    <r>
      <rPr>
        <sz val="10"/>
        <color rgb="FFD4D4D4"/>
        <rFont val="Consolas"/>
        <family val="3"/>
      </rPr>
      <t xml:space="preserve"> Si oppone alle convenzioni sociali o morali.                     |</t>
    </r>
    <r>
      <rPr>
        <sz val="10"/>
        <color rgb="FF6A9955"/>
        <rFont val="Consolas"/>
        <family val="3"/>
      </rPr>
      <t xml:space="preserve"> Quando rompe una regola importante o sovverte l’ordine.           |</t>
    </r>
  </si>
  <si>
    <r>
      <t>|</t>
    </r>
    <r>
      <rPr>
        <sz val="10"/>
        <color rgb="FF569CD6"/>
        <rFont val="Consolas"/>
        <family val="3"/>
      </rPr>
      <t xml:space="preserve"> **Director** (Direttore)             |</t>
    </r>
    <r>
      <rPr>
        <sz val="10"/>
        <color rgb="FFD4D4D4"/>
        <rFont val="Consolas"/>
        <family val="3"/>
      </rPr>
      <t xml:space="preserve"> Ama organizzare e guidare gli altri.                             |</t>
    </r>
    <r>
      <rPr>
        <sz val="10"/>
        <color rgb="FF6A9955"/>
        <rFont val="Consolas"/>
        <family val="3"/>
      </rPr>
      <t xml:space="preserve"> Quando coordina un piano o porta altri al successo.               |</t>
    </r>
  </si>
  <si>
    <r>
      <t>|</t>
    </r>
    <r>
      <rPr>
        <sz val="10"/>
        <color rgb="FF569CD6"/>
        <rFont val="Consolas"/>
        <family val="3"/>
      </rPr>
      <t xml:space="preserve"> **Fanatic** (Fanatico)               |</t>
    </r>
    <r>
      <rPr>
        <sz val="10"/>
        <color rgb="FFD4D4D4"/>
        <rFont val="Consolas"/>
        <family val="3"/>
      </rPr>
      <t xml:space="preserve"> Vive solo per la propria fede o causa.                           |</t>
    </r>
    <r>
      <rPr>
        <sz val="10"/>
        <color rgb="FF6A9955"/>
        <rFont val="Consolas"/>
        <family val="3"/>
      </rPr>
      <t xml:space="preserve"> Quando avanza o difende la propria causa, qualunque il costo.     |</t>
    </r>
  </si>
  <si>
    <r>
      <t>|</t>
    </r>
    <r>
      <rPr>
        <sz val="10"/>
        <color rgb="FF569CD6"/>
        <rFont val="Consolas"/>
        <family val="3"/>
      </rPr>
      <t xml:space="preserve"> **Follower** (Seguace)               |</t>
    </r>
    <r>
      <rPr>
        <sz val="10"/>
        <color rgb="FFD4D4D4"/>
        <rFont val="Consolas"/>
        <family val="3"/>
      </rPr>
      <t xml:space="preserve"> Ha bisogno di qualcuno da seguire.                               |</t>
    </r>
    <r>
      <rPr>
        <sz val="10"/>
        <color rgb="FF6A9955"/>
        <rFont val="Consolas"/>
        <family val="3"/>
      </rPr>
      <t xml:space="preserve"> Quando sostiene o serve lealmente il suo leader.                  |</t>
    </r>
  </si>
  <si>
    <r>
      <t>|</t>
    </r>
    <r>
      <rPr>
        <sz val="10"/>
        <color rgb="FF569CD6"/>
        <rFont val="Consolas"/>
        <family val="3"/>
      </rPr>
      <t xml:space="preserve"> **Gallant** (Seduttore / Narcisista) |</t>
    </r>
    <r>
      <rPr>
        <sz val="10"/>
        <color rgb="FFD4D4D4"/>
        <rFont val="Consolas"/>
        <family val="3"/>
      </rPr>
      <t xml:space="preserve"> Vive per essere ammirato.                                        |</t>
    </r>
    <r>
      <rPr>
        <sz val="10"/>
        <color rgb="FF6A9955"/>
        <rFont val="Consolas"/>
        <family val="3"/>
      </rPr>
      <t xml:space="preserve"> Quando ottiene ammirazione o conquista l’attenzione.              |</t>
    </r>
  </si>
  <si>
    <r>
      <t>|</t>
    </r>
    <r>
      <rPr>
        <sz val="10"/>
        <color rgb="FF569CD6"/>
        <rFont val="Consolas"/>
        <family val="3"/>
      </rPr>
      <t xml:space="preserve"> **Jester** (Giullare)                |</t>
    </r>
    <r>
      <rPr>
        <sz val="10"/>
        <color rgb="FFD4D4D4"/>
        <rFont val="Consolas"/>
        <family val="3"/>
      </rPr>
      <t xml:space="preserve"> Usa l’umorismo per affrontare il mondo.                          |</t>
    </r>
    <r>
      <rPr>
        <sz val="10"/>
        <color rgb="FF6A9955"/>
        <rFont val="Consolas"/>
        <family val="3"/>
      </rPr>
      <t xml:space="preserve"> Quando sdrammatizza una situazione o fa ridere gli altri.         |</t>
    </r>
  </si>
  <si>
    <r>
      <t>|</t>
    </r>
    <r>
      <rPr>
        <sz val="10"/>
        <color rgb="FF569CD6"/>
        <rFont val="Consolas"/>
        <family val="3"/>
      </rPr>
      <t xml:space="preserve"> **Judge** (Giudice)                  |</t>
    </r>
    <r>
      <rPr>
        <sz val="10"/>
        <color rgb="FFD4D4D4"/>
        <rFont val="Consolas"/>
        <family val="3"/>
      </rPr>
      <t xml:space="preserve"> Cerca giustizia e coerenza morale.                               |</t>
    </r>
    <r>
      <rPr>
        <sz val="10"/>
        <color rgb="FF6A9955"/>
        <rFont val="Consolas"/>
        <family val="3"/>
      </rPr>
      <t xml:space="preserve"> Quando risolve un conflitto o smaschera un’ingiustizia.           |</t>
    </r>
  </si>
  <si>
    <r>
      <t>|</t>
    </r>
    <r>
      <rPr>
        <sz val="10"/>
        <color rgb="FF569CD6"/>
        <rFont val="Consolas"/>
        <family val="3"/>
      </rPr>
      <t xml:space="preserve"> **Loner** (Solitario)                |</t>
    </r>
    <r>
      <rPr>
        <sz val="10"/>
        <color rgb="FFD4D4D4"/>
        <rFont val="Consolas"/>
        <family val="3"/>
      </rPr>
      <t xml:space="preserve"> Si fida solo di sé stesso.                                       |</t>
    </r>
    <r>
      <rPr>
        <sz val="10"/>
        <color rgb="FF6A9955"/>
        <rFont val="Consolas"/>
        <family val="3"/>
      </rPr>
      <t xml:space="preserve"> Quando riesce da solo dove altri falliscono.                      |</t>
    </r>
  </si>
  <si>
    <r>
      <t>|</t>
    </r>
    <r>
      <rPr>
        <sz val="10"/>
        <color rgb="FF569CD6"/>
        <rFont val="Consolas"/>
        <family val="3"/>
      </rPr>
      <t xml:space="preserve"> **Martyr** (Martire)                 |</t>
    </r>
    <r>
      <rPr>
        <sz val="10"/>
        <color rgb="FFD4D4D4"/>
        <rFont val="Consolas"/>
        <family val="3"/>
      </rPr>
      <t xml:space="preserve"> Si sacrifica per gli altri o per una causa.                      |</t>
    </r>
    <r>
      <rPr>
        <sz val="10"/>
        <color rgb="FF6A9955"/>
        <rFont val="Consolas"/>
        <family val="3"/>
      </rPr>
      <t xml:space="preserve"> Quando soffre o si mette in pericolo per altri.                   |</t>
    </r>
  </si>
  <si>
    <r>
      <t>|</t>
    </r>
    <r>
      <rPr>
        <sz val="10"/>
        <color rgb="FF569CD6"/>
        <rFont val="Consolas"/>
        <family val="3"/>
      </rPr>
      <t xml:space="preserve"> **Masochist** (Masochista)           |</t>
    </r>
    <r>
      <rPr>
        <sz val="10"/>
        <color rgb="FFD4D4D4"/>
        <rFont val="Consolas"/>
        <family val="3"/>
      </rPr>
      <t xml:space="preserve"> Trova soddisfazione nel dolore o nella punizione.                |</t>
    </r>
    <r>
      <rPr>
        <sz val="10"/>
        <color rgb="FF6A9955"/>
        <rFont val="Consolas"/>
        <family val="3"/>
      </rPr>
      <t xml:space="preserve"> Quando si procura o accetta dolore con intenzione.                |</t>
    </r>
  </si>
  <si>
    <r>
      <t>|</t>
    </r>
    <r>
      <rPr>
        <sz val="10"/>
        <color rgb="FF569CD6"/>
        <rFont val="Consolas"/>
        <family val="3"/>
      </rPr>
      <t xml:space="preserve"> **Monster** (Mostro)                 |</t>
    </r>
    <r>
      <rPr>
        <sz val="10"/>
        <color rgb="FFD4D4D4"/>
        <rFont val="Consolas"/>
        <family val="3"/>
      </rPr>
      <t xml:space="preserve"> Accetta la propria natura vampirica e la abbraccia.              |</t>
    </r>
    <r>
      <rPr>
        <sz val="10"/>
        <color rgb="FF6A9955"/>
        <rFont val="Consolas"/>
        <family val="3"/>
      </rPr>
      <t xml:space="preserve"> Quando agisce come un predatore senza rimorsi.                    |</t>
    </r>
  </si>
  <si>
    <r>
      <t>|</t>
    </r>
    <r>
      <rPr>
        <sz val="10"/>
        <color rgb="FF569CD6"/>
        <rFont val="Consolas"/>
        <family val="3"/>
      </rPr>
      <t xml:space="preserve"> **Pedagogue** (Maestro)              |</t>
    </r>
    <r>
      <rPr>
        <sz val="10"/>
        <color rgb="FFD4D4D4"/>
        <rFont val="Consolas"/>
        <family val="3"/>
      </rPr>
      <t xml:space="preserve"> Ama insegnare e trasmettere conoscenza.                          |</t>
    </r>
    <r>
      <rPr>
        <sz val="10"/>
        <color rgb="FF6A9955"/>
        <rFont val="Consolas"/>
        <family val="3"/>
      </rPr>
      <t xml:space="preserve"> Quando istruisce con successo qualcuno.                           |</t>
    </r>
  </si>
  <si>
    <r>
      <t>|</t>
    </r>
    <r>
      <rPr>
        <sz val="10"/>
        <color rgb="FF569CD6"/>
        <rFont val="Consolas"/>
        <family val="3"/>
      </rPr>
      <t xml:space="preserve"> **Penitent** (Penitente)             |</t>
    </r>
    <r>
      <rPr>
        <sz val="10"/>
        <color rgb="FFD4D4D4"/>
        <rFont val="Consolas"/>
        <family val="3"/>
      </rPr>
      <t xml:space="preserve"> Cerca redenzione per le proprie colpe.                           |</t>
    </r>
    <r>
      <rPr>
        <sz val="10"/>
        <color rgb="FF6A9955"/>
        <rFont val="Consolas"/>
        <family val="3"/>
      </rPr>
      <t xml:space="preserve"> Quando confessa o espia una colpa.                                |</t>
    </r>
  </si>
  <si>
    <r>
      <t>|</t>
    </r>
    <r>
      <rPr>
        <sz val="10"/>
        <color rgb="FF569CD6"/>
        <rFont val="Consolas"/>
        <family val="3"/>
      </rPr>
      <t xml:space="preserve"> **Perfectionist** (Perfezionista)    |</t>
    </r>
    <r>
      <rPr>
        <sz val="10"/>
        <color rgb="FFD4D4D4"/>
        <rFont val="Consolas"/>
        <family val="3"/>
      </rPr>
      <t xml:space="preserve"> Vuole che tutto sia impeccabile.                                 |</t>
    </r>
    <r>
      <rPr>
        <sz val="10"/>
        <color rgb="FF6A9955"/>
        <rFont val="Consolas"/>
        <family val="3"/>
      </rPr>
      <t xml:space="preserve"> Quando porta a termine qualcosa in modo esatto e perfetto.        |</t>
    </r>
  </si>
  <si>
    <r>
      <t>|</t>
    </r>
    <r>
      <rPr>
        <sz val="10"/>
        <color rgb="FF569CD6"/>
        <rFont val="Consolas"/>
        <family val="3"/>
      </rPr>
      <t xml:space="preserve"> **Rebel** (Ribelle)                  |</t>
    </r>
    <r>
      <rPr>
        <sz val="10"/>
        <color rgb="FFD4D4D4"/>
        <rFont val="Consolas"/>
        <family val="3"/>
      </rPr>
      <t xml:space="preserve"> Odia l’autorità e le regole.                                     |</t>
    </r>
    <r>
      <rPr>
        <sz val="10"/>
        <color rgb="FF6A9955"/>
        <rFont val="Consolas"/>
        <family val="3"/>
      </rPr>
      <t xml:space="preserve"> Quando si oppone a un’autorità o rompe una costrizione.           |</t>
    </r>
  </si>
  <si>
    <r>
      <t>|</t>
    </r>
    <r>
      <rPr>
        <sz val="10"/>
        <color rgb="FF569CD6"/>
        <rFont val="Consolas"/>
        <family val="3"/>
      </rPr>
      <t xml:space="preserve"> **Rogue** (Canaglia)                 |</t>
    </r>
    <r>
      <rPr>
        <sz val="10"/>
        <color rgb="FFD4D4D4"/>
        <rFont val="Consolas"/>
        <family val="3"/>
      </rPr>
      <t xml:space="preserve"> Opportunista, agisce solo per sé stesso.                         |</t>
    </r>
    <r>
      <rPr>
        <sz val="10"/>
        <color rgb="FF6A9955"/>
        <rFont val="Consolas"/>
        <family val="3"/>
      </rPr>
      <t xml:space="preserve"> Quando trae profitto personale da una situazione.                 |</t>
    </r>
  </si>
  <si>
    <r>
      <t>|</t>
    </r>
    <r>
      <rPr>
        <sz val="10"/>
        <color rgb="FF569CD6"/>
        <rFont val="Consolas"/>
        <family val="3"/>
      </rPr>
      <t xml:space="preserve"> **Scientist** (Scienziato)           |</t>
    </r>
    <r>
      <rPr>
        <sz val="10"/>
        <color rgb="FFD4D4D4"/>
        <rFont val="Consolas"/>
        <family val="3"/>
      </rPr>
      <t xml:space="preserve"> Crede nella logica e nella conoscenza.                           |</t>
    </r>
    <r>
      <rPr>
        <sz val="10"/>
        <color rgb="FF6A9955"/>
        <rFont val="Consolas"/>
        <family val="3"/>
      </rPr>
      <t xml:space="preserve"> Quando scopre o dimostra qualcosa di nuovo.                       |</t>
    </r>
  </si>
  <si>
    <r>
      <t>|</t>
    </r>
    <r>
      <rPr>
        <sz val="10"/>
        <color rgb="FF569CD6"/>
        <rFont val="Consolas"/>
        <family val="3"/>
      </rPr>
      <t xml:space="preserve"> **Survivor** (Sopravvissuto)         |</t>
    </r>
    <r>
      <rPr>
        <sz val="10"/>
        <color rgb="FFD4D4D4"/>
        <rFont val="Consolas"/>
        <family val="3"/>
      </rPr>
      <t xml:space="preserve"> L’unica cosa che conta è restare vivo.                           |</t>
    </r>
    <r>
      <rPr>
        <sz val="10"/>
        <color rgb="FF6A9955"/>
        <rFont val="Consolas"/>
        <family val="3"/>
      </rPr>
      <t xml:space="preserve"> Quando supera un pericolo che avrebbe distrutto altri.            |</t>
    </r>
  </si>
  <si>
    <r>
      <t>|</t>
    </r>
    <r>
      <rPr>
        <sz val="10"/>
        <color rgb="FF569CD6"/>
        <rFont val="Consolas"/>
        <family val="3"/>
      </rPr>
      <t xml:space="preserve"> **Traditionalist** (Tradizionalista) |</t>
    </r>
    <r>
      <rPr>
        <sz val="10"/>
        <color rgb="FFD4D4D4"/>
        <rFont val="Consolas"/>
        <family val="3"/>
      </rPr>
      <t xml:space="preserve"> Crede nel passato e nelle regole consolidate.                    |</t>
    </r>
    <r>
      <rPr>
        <sz val="10"/>
        <color rgb="FF6A9955"/>
        <rFont val="Consolas"/>
        <family val="3"/>
      </rPr>
      <t xml:space="preserve"> Quando difende una tradizione o mantiene l’ordine.                |</t>
    </r>
  </si>
  <si>
    <r>
      <t>|</t>
    </r>
    <r>
      <rPr>
        <sz val="10"/>
        <color rgb="FF569CD6"/>
        <rFont val="Consolas"/>
        <family val="3"/>
      </rPr>
      <t xml:space="preserve"> **Trickster** (Burlone)              |</t>
    </r>
    <r>
      <rPr>
        <sz val="10"/>
        <color rgb="FFD4D4D4"/>
        <rFont val="Consolas"/>
        <family val="3"/>
      </rPr>
      <t xml:space="preserve"> Ama creare caos o far riflettere con scherzi.                    |</t>
    </r>
    <r>
      <rPr>
        <sz val="10"/>
        <color rgb="FF6A9955"/>
        <rFont val="Consolas"/>
        <family val="3"/>
      </rPr>
      <t xml:space="preserve"> Quando destabilizza qualcuno o cambia prospettiva con un inganno. |</t>
    </r>
  </si>
  <si>
    <r>
      <t>|</t>
    </r>
    <r>
      <rPr>
        <sz val="10"/>
        <color rgb="FF569CD6"/>
        <rFont val="Consolas"/>
        <family val="3"/>
      </rPr>
      <t xml:space="preserve"> **Visionary** (Visionario)           |</t>
    </r>
    <r>
      <rPr>
        <sz val="10"/>
        <color rgb="FFD4D4D4"/>
        <rFont val="Consolas"/>
        <family val="3"/>
      </rPr>
      <t xml:space="preserve"> Vive per un sogno o un futuro migliore.                          |</t>
    </r>
    <r>
      <rPr>
        <sz val="10"/>
        <color rgb="FF6A9955"/>
        <rFont val="Consolas"/>
        <family val="3"/>
      </rPr>
      <t xml:space="preserve"> Quando ispira altri o compie un passo verso il suo ideale.        |</t>
    </r>
  </si>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</sst>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0"/>
      <color rgb="FFD4D4D4"/>
      <name val="Consolas"/>
      <family val="3"/>
    </font>
    <font>
      <sz val="10"/>
      <color rgb="FF569CD6"/>
      <name val="Consolas"/>
      <family val="3"/>
    </font>
    <font>
      <sz val="10"/>
      <color rgb="FF6A9955"/>
      <name val="Consolas"/>
      <family val="3"/>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30">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54" fillId="0" borderId="0" xfId="0" applyFont="1" applyAlignment="1">
      <alignment vertical="center"/>
    </xf>
    <xf numFmtId="0" fontId="41" fillId="0" borderId="8" xfId="0" applyFont="1" applyBorder="1" applyAlignment="1">
      <alignment horizontal="right" vertical="center"/>
    </xf>
    <xf numFmtId="0" fontId="57"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8" fillId="0" borderId="0" xfId="0" applyFont="1"/>
    <xf numFmtId="0" fontId="58" fillId="0" borderId="0" xfId="0" applyFont="1" applyAlignment="1">
      <alignment horizontal="center"/>
    </xf>
    <xf numFmtId="0" fontId="58" fillId="0" borderId="0" xfId="0" applyFont="1" applyAlignment="1">
      <alignment horizontal="left" vertical="center" wrapText="1"/>
    </xf>
    <xf numFmtId="0" fontId="58" fillId="0" borderId="0" xfId="0" applyFont="1" applyAlignment="1">
      <alignment horizontal="left" vertical="center"/>
    </xf>
    <xf numFmtId="0" fontId="58"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60" fillId="0" borderId="4" xfId="0" applyFont="1" applyBorder="1"/>
    <xf numFmtId="0" fontId="60" fillId="0" borderId="2" xfId="0" applyFont="1" applyBorder="1"/>
    <xf numFmtId="0" fontId="60" fillId="0" borderId="3" xfId="0" applyFont="1" applyBorder="1"/>
    <xf numFmtId="0" fontId="60" fillId="0" borderId="8" xfId="0" applyFont="1" applyBorder="1"/>
    <xf numFmtId="0" fontId="61"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9" fillId="0" borderId="0" xfId="0" applyNumberFormat="1" applyFont="1" applyAlignment="1">
      <alignment vertical="center"/>
    </xf>
    <xf numFmtId="0" fontId="59" fillId="0" borderId="0" xfId="0" applyFont="1" applyAlignment="1">
      <alignment horizontal="center" vertical="center"/>
    </xf>
    <xf numFmtId="0" fontId="60" fillId="0" borderId="24" xfId="0" applyFont="1" applyBorder="1"/>
    <xf numFmtId="0" fontId="60" fillId="0" borderId="0" xfId="0" applyFont="1"/>
    <xf numFmtId="0" fontId="60" fillId="0" borderId="19" xfId="0" applyFont="1" applyBorder="1"/>
    <xf numFmtId="0" fontId="60" fillId="0" borderId="25" xfId="0" applyFont="1" applyBorder="1"/>
    <xf numFmtId="0" fontId="60" fillId="0" borderId="26" xfId="0" applyFont="1" applyBorder="1"/>
    <xf numFmtId="0" fontId="61" fillId="0" borderId="24" xfId="0" applyFont="1" applyBorder="1"/>
    <xf numFmtId="0" fontId="61" fillId="0" borderId="0" xfId="0" applyFont="1"/>
    <xf numFmtId="0" fontId="61" fillId="0" borderId="19" xfId="0" applyFont="1" applyBorder="1"/>
    <xf numFmtId="0" fontId="61" fillId="0" borderId="29" xfId="0" applyFont="1" applyBorder="1"/>
    <xf numFmtId="0" fontId="61" fillId="0" borderId="30" xfId="0" applyFont="1" applyBorder="1"/>
    <xf numFmtId="0" fontId="61" fillId="0" borderId="31" xfId="0" applyFont="1" applyBorder="1"/>
    <xf numFmtId="0" fontId="61" fillId="0" borderId="32" xfId="0" applyFont="1" applyBorder="1"/>
    <xf numFmtId="0" fontId="61"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4" fillId="0" borderId="13" xfId="0" applyFont="1" applyBorder="1" applyAlignment="1">
      <alignment horizontal="left" vertical="center"/>
    </xf>
    <xf numFmtId="0" fontId="7" fillId="0" borderId="0" xfId="0" applyFont="1" applyAlignment="1">
      <alignment horizontal="right" vertical="center"/>
    </xf>
    <xf numFmtId="0" fontId="38" fillId="0" borderId="0" xfId="0" applyFont="1" applyAlignment="1">
      <alignment horizontal="left" vertical="center" wrapText="1"/>
    </xf>
    <xf numFmtId="0" fontId="1" fillId="0" borderId="0" xfId="0" applyFont="1" applyAlignment="1">
      <alignment horizontal="left" vertical="center" wrapText="1"/>
    </xf>
    <xf numFmtId="164" fontId="60" fillId="0" borderId="22" xfId="0" applyNumberFormat="1" applyFont="1" applyBorder="1" applyAlignment="1">
      <alignment horizontal="center"/>
    </xf>
    <xf numFmtId="164" fontId="60" fillId="0" borderId="23" xfId="0" applyNumberFormat="1" applyFont="1" applyBorder="1" applyAlignment="1">
      <alignment horizontal="center"/>
    </xf>
    <xf numFmtId="164" fontId="60" fillId="0" borderId="27" xfId="0" applyNumberFormat="1" applyFont="1" applyBorder="1" applyAlignment="1">
      <alignment horizontal="center"/>
    </xf>
    <xf numFmtId="164" fontId="60" fillId="0" borderId="5" xfId="0" applyNumberFormat="1" applyFont="1" applyBorder="1" applyAlignment="1">
      <alignment horizontal="center"/>
    </xf>
    <xf numFmtId="164" fontId="60" fillId="0" borderId="6" xfId="0" applyNumberFormat="1" applyFont="1" applyBorder="1" applyAlignment="1">
      <alignment horizontal="center"/>
    </xf>
    <xf numFmtId="164" fontId="60" fillId="0" borderId="28" xfId="0" applyNumberFormat="1" applyFont="1" applyBorder="1" applyAlignment="1">
      <alignment horizontal="center"/>
    </xf>
    <xf numFmtId="0" fontId="53" fillId="0" borderId="0" xfId="0" applyFont="1" applyAlignment="1">
      <alignment horizontal="center" vertical="center"/>
    </xf>
    <xf numFmtId="164" fontId="60" fillId="0" borderId="20" xfId="0" applyNumberFormat="1" applyFont="1" applyBorder="1" applyAlignment="1">
      <alignment horizontal="center"/>
    </xf>
    <xf numFmtId="164" fontId="60" fillId="0" borderId="21"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5.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abSelected="1" topLeftCell="A8" zoomScale="170" zoomScaleNormal="170" workbookViewId="0">
      <selection activeCell="A24" sqref="A24"/>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1070</v>
      </c>
      <c r="H1" s="151" t="s">
        <v>173</v>
      </c>
      <c r="I1" s="81" t="s">
        <v>348</v>
      </c>
      <c r="J1" s="100"/>
      <c r="K1" s="61"/>
      <c r="L1" s="210" t="s">
        <v>1051</v>
      </c>
    </row>
    <row r="3" spans="1:12" x14ac:dyDescent="0.3">
      <c r="A3" s="156" t="s">
        <v>0</v>
      </c>
      <c r="B3" s="57" t="s">
        <v>1046</v>
      </c>
      <c r="E3" s="156" t="s">
        <v>2</v>
      </c>
      <c r="F3" s="152" t="s">
        <v>537</v>
      </c>
      <c r="H3" s="55" t="s">
        <v>1047</v>
      </c>
      <c r="K3" s="57"/>
    </row>
    <row r="4" spans="1:12" x14ac:dyDescent="0.3">
      <c r="A4" s="156" t="s">
        <v>343</v>
      </c>
      <c r="B4" s="57" t="s">
        <v>1074</v>
      </c>
      <c r="H4" s="55" t="s">
        <v>1048</v>
      </c>
    </row>
    <row r="5" spans="1:12" x14ac:dyDescent="0.3">
      <c r="A5" s="156" t="s">
        <v>4</v>
      </c>
      <c r="B5" s="152" t="s">
        <v>502</v>
      </c>
      <c r="E5" s="211" t="s">
        <v>3</v>
      </c>
      <c r="F5" s="139" t="s">
        <v>538</v>
      </c>
      <c r="G5" s="85"/>
      <c r="H5" s="140" t="s">
        <v>1049</v>
      </c>
      <c r="I5" s="85"/>
      <c r="J5" s="85"/>
      <c r="K5" s="131"/>
      <c r="L5" s="85"/>
    </row>
    <row r="6" spans="1:12" x14ac:dyDescent="0.3">
      <c r="A6" s="156" t="s">
        <v>69</v>
      </c>
      <c r="B6" s="57" t="s">
        <v>126</v>
      </c>
      <c r="H6" s="55" t="s">
        <v>1050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543</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1052</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1045</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546</v>
      </c>
      <c r="B30" s="54">
        <v>1</v>
      </c>
      <c r="C30" s="80" t="s">
        <v>1075</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1076</v>
      </c>
      <c r="H32" s="63" t="s">
        <v>70</v>
      </c>
      <c r="J32" s="167" t="s">
        <v>131</v>
      </c>
      <c r="L32" s="54"/>
    </row>
    <row r="33" spans="1:12" x14ac:dyDescent="0.3">
      <c r="A33" s="57" t="s">
        <v>320</v>
      </c>
      <c r="B33" s="54">
        <v>2</v>
      </c>
      <c r="C33" s="80" t="s">
        <v>1078</v>
      </c>
      <c r="H33" s="63" t="s">
        <v>66</v>
      </c>
      <c r="J33" s="167">
        <f>J29+J30</f>
        <v>6</v>
      </c>
      <c r="K33" s="162" t="s">
        <v>464</v>
      </c>
      <c r="L33" s="54"/>
    </row>
    <row r="34" spans="1:12" x14ac:dyDescent="0.3">
      <c r="C34" s="80" t="s">
        <v>1077</v>
      </c>
      <c r="L34" s="216" t="s">
        <v>471</v>
      </c>
    </row>
    <row r="35" spans="1:12" x14ac:dyDescent="0.3">
      <c r="H35" s="63" t="s">
        <v>20</v>
      </c>
      <c r="J35" s="167">
        <v>6</v>
      </c>
      <c r="K35" s="162" t="s">
        <v>478</v>
      </c>
      <c r="L35" s="54"/>
    </row>
    <row r="36" spans="1:12" x14ac:dyDescent="0.3">
      <c r="A36" s="66"/>
      <c r="B36" s="66"/>
      <c r="C36" s="66"/>
      <c r="D36" s="66"/>
      <c r="E36" s="66"/>
      <c r="F36" s="66"/>
      <c r="H36" s="63" t="s">
        <v>1053</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780</v>
      </c>
      <c r="C52" s="54">
        <v>2</v>
      </c>
      <c r="D52" s="80" t="s">
        <v>1066</v>
      </c>
    </row>
    <row r="53" spans="1:12" x14ac:dyDescent="0.3">
      <c r="A53" s="165" t="s">
        <v>97</v>
      </c>
      <c r="C53" s="54">
        <v>2</v>
      </c>
      <c r="D53" s="80" t="s">
        <v>1067</v>
      </c>
    </row>
    <row r="54" spans="1:12" x14ac:dyDescent="0.3">
      <c r="A54" s="165" t="s">
        <v>99</v>
      </c>
      <c r="C54" s="54">
        <v>3</v>
      </c>
      <c r="D54" s="80" t="s">
        <v>1068</v>
      </c>
      <c r="E54" s="155"/>
    </row>
    <row r="55" spans="1:12" x14ac:dyDescent="0.3">
      <c r="A55" s="165" t="s">
        <v>5</v>
      </c>
      <c r="C55" s="54">
        <v>1</v>
      </c>
      <c r="D55" s="80" t="s">
        <v>1069</v>
      </c>
      <c r="E55" s="155"/>
    </row>
    <row r="56" spans="1:12" x14ac:dyDescent="0.3">
      <c r="A56" s="165" t="s">
        <v>101</v>
      </c>
      <c r="C56" s="54">
        <v>1</v>
      </c>
      <c r="D56" s="80" t="s">
        <v>1072</v>
      </c>
      <c r="E56" s="155"/>
    </row>
    <row r="57" spans="1:12" x14ac:dyDescent="0.3">
      <c r="A57" s="165" t="s">
        <v>98</v>
      </c>
      <c r="C57" s="54">
        <v>2</v>
      </c>
      <c r="D57" s="80" t="s">
        <v>1071</v>
      </c>
      <c r="E57" s="155"/>
    </row>
    <row r="58" spans="1:12" x14ac:dyDescent="0.3">
      <c r="E58" s="155"/>
    </row>
    <row r="59" spans="1:12" x14ac:dyDescent="0.3">
      <c r="A59" s="215"/>
      <c r="B59" s="66"/>
      <c r="C59" s="69"/>
      <c r="D59" s="82"/>
      <c r="E59" s="215"/>
      <c r="F59" s="66"/>
      <c r="G59" s="66"/>
      <c r="H59" s="66"/>
      <c r="I59" s="66"/>
      <c r="J59" s="66"/>
      <c r="K59" s="69"/>
      <c r="L59" s="66"/>
    </row>
    <row r="60" spans="1:12" x14ac:dyDescent="0.3">
      <c r="A60" s="215"/>
      <c r="B60" s="66"/>
      <c r="C60" s="69"/>
      <c r="D60" s="82"/>
      <c r="E60" s="215"/>
      <c r="F60" s="66"/>
      <c r="G60" s="66"/>
      <c r="H60" s="66"/>
      <c r="I60" s="66"/>
      <c r="J60" s="66"/>
      <c r="K60" s="69"/>
      <c r="L60" s="66"/>
    </row>
    <row r="61" spans="1:12" x14ac:dyDescent="0.3">
      <c r="A61" s="155"/>
      <c r="C61" s="54"/>
      <c r="D61" s="80"/>
      <c r="E61" s="155"/>
    </row>
    <row r="62" spans="1:12" x14ac:dyDescent="0.3">
      <c r="A62" s="55" t="s">
        <v>1062</v>
      </c>
      <c r="C62" s="75" t="s">
        <v>203</v>
      </c>
      <c r="D62" s="80" t="s">
        <v>61</v>
      </c>
    </row>
    <row r="63" spans="1:12" x14ac:dyDescent="0.3">
      <c r="A63" s="165" t="s">
        <v>1056</v>
      </c>
      <c r="C63" s="54">
        <v>5</v>
      </c>
      <c r="D63" s="80" t="s">
        <v>1060</v>
      </c>
    </row>
    <row r="64" spans="1:12" x14ac:dyDescent="0.3">
      <c r="A64" s="63"/>
      <c r="D64" s="80" t="s">
        <v>1063</v>
      </c>
    </row>
    <row r="65" spans="1:12" x14ac:dyDescent="0.3">
      <c r="A65" s="165" t="s">
        <v>1054</v>
      </c>
      <c r="C65" s="54">
        <v>1</v>
      </c>
      <c r="D65" s="80" t="s">
        <v>1061</v>
      </c>
    </row>
    <row r="66" spans="1:12" x14ac:dyDescent="0.3">
      <c r="A66" s="165" t="s">
        <v>1057</v>
      </c>
      <c r="C66" s="54">
        <v>-3</v>
      </c>
      <c r="D66" s="80" t="s">
        <v>1064</v>
      </c>
    </row>
    <row r="67" spans="1:12" x14ac:dyDescent="0.3">
      <c r="A67" s="165" t="s">
        <v>1055</v>
      </c>
      <c r="C67" s="54">
        <v>-2</v>
      </c>
      <c r="D67" s="80" t="s">
        <v>1065</v>
      </c>
    </row>
    <row r="68" spans="1:12" x14ac:dyDescent="0.3">
      <c r="A68" s="165" t="s">
        <v>1058</v>
      </c>
      <c r="C68" s="54">
        <v>-1</v>
      </c>
      <c r="D68" s="80" t="s">
        <v>1059</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1080</v>
      </c>
    </row>
    <row r="74" spans="1:12" x14ac:dyDescent="0.3">
      <c r="A74" s="57" t="s">
        <v>106</v>
      </c>
      <c r="C74" s="63" t="s">
        <v>1087</v>
      </c>
    </row>
    <row r="75" spans="1:12" x14ac:dyDescent="0.3">
      <c r="A75" s="57" t="s">
        <v>98</v>
      </c>
      <c r="C75" s="63" t="s">
        <v>1088</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1073</v>
      </c>
      <c r="B79" s="80"/>
      <c r="C79" s="80" t="s">
        <v>1086</v>
      </c>
      <c r="E79" s="57" t="s">
        <v>1089</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3">
        <v>29</v>
      </c>
      <c r="E84" s="80" t="s">
        <v>118</v>
      </c>
      <c r="G84" s="213" t="s">
        <v>1106</v>
      </c>
      <c r="I84" s="57" t="s">
        <v>0</v>
      </c>
      <c r="K84" s="57" t="s">
        <v>87</v>
      </c>
    </row>
    <row r="85" spans="1:12" x14ac:dyDescent="0.3">
      <c r="A85" s="80" t="s">
        <v>112</v>
      </c>
      <c r="B85" s="66"/>
      <c r="C85" s="212">
        <v>29</v>
      </c>
      <c r="E85" s="80" t="s">
        <v>119</v>
      </c>
      <c r="F85" s="66"/>
      <c r="G85" s="212" t="s">
        <v>392</v>
      </c>
      <c r="I85" s="66"/>
      <c r="J85" s="66"/>
      <c r="K85" s="66"/>
      <c r="L85" s="69"/>
    </row>
    <row r="86" spans="1:12" x14ac:dyDescent="0.3">
      <c r="A86" s="80" t="s">
        <v>114</v>
      </c>
      <c r="C86" s="213">
        <v>1998</v>
      </c>
      <c r="E86" s="80" t="s">
        <v>120</v>
      </c>
      <c r="G86" s="213" t="s">
        <v>1081</v>
      </c>
      <c r="I86" s="85"/>
      <c r="J86" s="85"/>
      <c r="K86" s="85"/>
      <c r="L86" s="131"/>
    </row>
    <row r="87" spans="1:12" x14ac:dyDescent="0.3">
      <c r="A87" s="80" t="s">
        <v>115</v>
      </c>
      <c r="B87" s="66"/>
      <c r="C87" s="214">
        <v>45943</v>
      </c>
      <c r="E87" s="80" t="s">
        <v>121</v>
      </c>
      <c r="F87" s="66"/>
      <c r="G87" s="212" t="s">
        <v>1082</v>
      </c>
      <c r="I87" s="66"/>
      <c r="J87" s="66"/>
      <c r="K87" s="66"/>
      <c r="L87" s="69"/>
    </row>
    <row r="88" spans="1:12" x14ac:dyDescent="0.3">
      <c r="A88" s="80" t="s">
        <v>116</v>
      </c>
      <c r="C88" s="213" t="s">
        <v>1083</v>
      </c>
      <c r="E88" s="80" t="s">
        <v>122</v>
      </c>
      <c r="G88" s="213" t="s">
        <v>394</v>
      </c>
      <c r="K88" s="57"/>
      <c r="L88" s="54"/>
    </row>
    <row r="89" spans="1:12" x14ac:dyDescent="0.3">
      <c r="A89" s="80" t="s">
        <v>117</v>
      </c>
      <c r="B89" s="66"/>
      <c r="C89" s="212" t="s">
        <v>1084</v>
      </c>
      <c r="E89" s="80"/>
      <c r="F89" s="66"/>
      <c r="G89" s="212"/>
      <c r="I89" s="66"/>
      <c r="J89" s="66"/>
      <c r="K89" s="66"/>
      <c r="L89" s="69"/>
    </row>
    <row r="90" spans="1:12" x14ac:dyDescent="0.3">
      <c r="I90" s="61"/>
      <c r="J90" s="61"/>
      <c r="K90" s="61"/>
      <c r="L90" s="78"/>
    </row>
    <row r="92" spans="1:12" x14ac:dyDescent="0.3">
      <c r="A92" s="90" t="s">
        <v>1104</v>
      </c>
    </row>
    <row r="93" spans="1:12" x14ac:dyDescent="0.3">
      <c r="A93" s="217" t="s">
        <v>1079</v>
      </c>
      <c r="B93" s="217"/>
      <c r="C93" s="217"/>
      <c r="D93" s="217"/>
      <c r="E93" s="217"/>
      <c r="F93" s="217"/>
      <c r="G93" s="217"/>
      <c r="H93" s="217"/>
      <c r="I93" s="217"/>
      <c r="J93" s="217"/>
      <c r="K93" s="217"/>
      <c r="L93" s="217"/>
    </row>
    <row r="94" spans="1:12" x14ac:dyDescent="0.3">
      <c r="A94" s="217"/>
      <c r="B94" s="217"/>
      <c r="C94" s="217"/>
      <c r="D94" s="217"/>
      <c r="E94" s="217"/>
      <c r="F94" s="217"/>
      <c r="G94" s="217"/>
      <c r="H94" s="217"/>
      <c r="I94" s="217"/>
      <c r="J94" s="217"/>
      <c r="K94" s="217"/>
      <c r="L94" s="217"/>
    </row>
    <row r="95" spans="1:12" x14ac:dyDescent="0.3">
      <c r="A95" s="217"/>
      <c r="B95" s="217"/>
      <c r="C95" s="217"/>
      <c r="D95" s="217"/>
      <c r="E95" s="217"/>
      <c r="F95" s="217"/>
      <c r="G95" s="217"/>
      <c r="H95" s="217"/>
      <c r="I95" s="217"/>
      <c r="J95" s="217"/>
      <c r="K95" s="217"/>
      <c r="L95" s="217"/>
    </row>
    <row r="96" spans="1:12" x14ac:dyDescent="0.3">
      <c r="A96" s="217"/>
      <c r="B96" s="217"/>
      <c r="C96" s="217"/>
      <c r="D96" s="217"/>
      <c r="E96" s="217"/>
      <c r="F96" s="217"/>
      <c r="G96" s="217"/>
      <c r="H96" s="217"/>
      <c r="I96" s="217"/>
      <c r="J96" s="217"/>
      <c r="K96" s="217"/>
      <c r="L96" s="217"/>
    </row>
    <row r="97" spans="1:12" x14ac:dyDescent="0.3">
      <c r="A97" s="90" t="s">
        <v>6</v>
      </c>
    </row>
    <row r="98" spans="1:12" x14ac:dyDescent="0.3">
      <c r="A98" s="217" t="s">
        <v>1085</v>
      </c>
      <c r="B98" s="217"/>
      <c r="C98" s="217"/>
      <c r="D98" s="217"/>
      <c r="E98" s="217"/>
      <c r="F98" s="217"/>
      <c r="G98" s="217"/>
      <c r="H98" s="217"/>
      <c r="I98" s="217"/>
      <c r="J98" s="217"/>
      <c r="K98" s="217"/>
      <c r="L98" s="217"/>
    </row>
    <row r="99" spans="1:12" x14ac:dyDescent="0.3">
      <c r="A99" s="217"/>
      <c r="B99" s="217"/>
      <c r="C99" s="217"/>
      <c r="D99" s="217"/>
      <c r="E99" s="217"/>
      <c r="F99" s="217"/>
      <c r="G99" s="217"/>
      <c r="H99" s="217"/>
      <c r="I99" s="217"/>
      <c r="J99" s="217"/>
      <c r="K99" s="217"/>
      <c r="L99" s="217"/>
    </row>
    <row r="100" spans="1:12" x14ac:dyDescent="0.3">
      <c r="A100" s="217"/>
      <c r="B100" s="217"/>
      <c r="C100" s="217"/>
      <c r="D100" s="217"/>
      <c r="E100" s="217"/>
      <c r="F100" s="217"/>
      <c r="G100" s="217"/>
      <c r="H100" s="217"/>
      <c r="I100" s="217"/>
      <c r="J100" s="217"/>
      <c r="K100" s="217"/>
      <c r="L100" s="217"/>
    </row>
    <row r="101" spans="1:12" x14ac:dyDescent="0.3">
      <c r="F101" s="72" t="s">
        <v>1100</v>
      </c>
    </row>
    <row r="102" spans="1:12" ht="13.8" customHeight="1" x14ac:dyDescent="0.3">
      <c r="A102" s="57" t="s">
        <v>78</v>
      </c>
      <c r="C102" s="57" t="s">
        <v>73</v>
      </c>
      <c r="D102" s="57" t="s">
        <v>81</v>
      </c>
      <c r="E102" s="57" t="s">
        <v>79</v>
      </c>
    </row>
    <row r="103" spans="1:12" x14ac:dyDescent="0.3">
      <c r="A103" s="82" t="s">
        <v>407</v>
      </c>
      <c r="B103" s="66"/>
      <c r="C103" s="169">
        <v>1</v>
      </c>
      <c r="D103" s="134" t="s">
        <v>1102</v>
      </c>
      <c r="E103" s="82" t="s">
        <v>483</v>
      </c>
      <c r="F103" s="66"/>
      <c r="G103" s="66"/>
      <c r="H103" s="66"/>
      <c r="I103" s="66"/>
      <c r="J103" s="66"/>
      <c r="K103" s="69"/>
      <c r="L103" s="66"/>
    </row>
    <row r="104" spans="1:12" x14ac:dyDescent="0.3">
      <c r="A104" s="80" t="s">
        <v>1101</v>
      </c>
      <c r="C104" s="169" t="s">
        <v>131</v>
      </c>
      <c r="D104" s="134" t="s">
        <v>1105</v>
      </c>
      <c r="E104" s="82" t="s">
        <v>1103</v>
      </c>
    </row>
    <row r="105" spans="1:12" x14ac:dyDescent="0.3">
      <c r="A105" s="66"/>
      <c r="B105" s="66"/>
      <c r="C105" s="66"/>
      <c r="D105" s="134"/>
      <c r="E105" s="99"/>
      <c r="F105" s="66"/>
      <c r="G105" s="66"/>
      <c r="H105" s="66"/>
      <c r="I105" s="66"/>
      <c r="J105" s="66"/>
      <c r="K105" s="69"/>
      <c r="L105" s="66"/>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97</v>
      </c>
    </row>
    <row r="124" spans="1:12" x14ac:dyDescent="0.3">
      <c r="A124" s="63" t="s">
        <v>1091</v>
      </c>
      <c r="B124" s="63"/>
      <c r="C124" s="155" t="s">
        <v>1090</v>
      </c>
      <c r="D124" s="63" t="s">
        <v>1092</v>
      </c>
    </row>
    <row r="125" spans="1:12" x14ac:dyDescent="0.3">
      <c r="A125" s="63" t="s">
        <v>1093</v>
      </c>
      <c r="B125" s="63"/>
      <c r="C125" s="155" t="s">
        <v>1090</v>
      </c>
      <c r="D125" s="63" t="s">
        <v>1094</v>
      </c>
    </row>
    <row r="126" spans="1:12" ht="13.8" customHeight="1" x14ac:dyDescent="0.3">
      <c r="A126" s="63" t="s">
        <v>1098</v>
      </c>
      <c r="B126" s="63"/>
      <c r="C126" s="155" t="s">
        <v>101</v>
      </c>
      <c r="D126" s="63" t="s">
        <v>1099</v>
      </c>
    </row>
    <row r="127" spans="1:12" ht="13.8" customHeight="1" x14ac:dyDescent="0.3">
      <c r="A127" s="63" t="s">
        <v>1095</v>
      </c>
      <c r="B127" s="63"/>
      <c r="C127" s="155" t="s">
        <v>1096</v>
      </c>
      <c r="D127" s="63" t="s">
        <v>1097</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t="s">
        <v>445</v>
      </c>
    </row>
    <row r="201" spans="1:12" x14ac:dyDescent="0.3">
      <c r="A201" s="63" t="s">
        <v>447</v>
      </c>
    </row>
    <row r="202" spans="1:12" x14ac:dyDescent="0.3">
      <c r="A202" s="63" t="s">
        <v>446</v>
      </c>
    </row>
    <row r="204" spans="1:12" x14ac:dyDescent="0.3">
      <c r="A204" s="63" t="s">
        <v>448</v>
      </c>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t="s">
        <v>449</v>
      </c>
      <c r="B206" s="63"/>
      <c r="C206" s="63"/>
      <c r="D206" s="63"/>
      <c r="E206" s="63"/>
      <c r="F206" s="63"/>
      <c r="G206" s="63"/>
      <c r="H206" s="63"/>
      <c r="I206" s="63"/>
      <c r="J206" s="63"/>
      <c r="K206" s="63"/>
      <c r="L206" s="63"/>
    </row>
    <row r="207" spans="1:12" x14ac:dyDescent="0.3">
      <c r="B207" s="63" t="s">
        <v>450</v>
      </c>
      <c r="C207" s="63"/>
      <c r="D207" s="63"/>
      <c r="E207" s="63"/>
      <c r="F207" s="63"/>
      <c r="G207" s="63"/>
      <c r="H207" s="63"/>
      <c r="I207" s="63"/>
      <c r="J207" s="63"/>
      <c r="K207" s="63"/>
      <c r="L207" s="63"/>
    </row>
    <row r="208" spans="1:12" x14ac:dyDescent="0.3">
      <c r="A208" s="63" t="s">
        <v>451</v>
      </c>
      <c r="B208" s="63"/>
      <c r="C208" s="63"/>
      <c r="D208" s="63"/>
      <c r="E208" s="63"/>
      <c r="F208" s="63"/>
      <c r="G208" s="63"/>
      <c r="H208" s="63"/>
      <c r="I208" s="63"/>
      <c r="J208" s="63"/>
      <c r="K208" s="63"/>
      <c r="L208" s="63"/>
    </row>
    <row r="209" spans="1:12" x14ac:dyDescent="0.3">
      <c r="A209" s="63"/>
      <c r="B209" s="63" t="s">
        <v>452</v>
      </c>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t="s">
        <v>208</v>
      </c>
      <c r="B214" s="90" t="s">
        <v>466</v>
      </c>
      <c r="J214" s="72" t="s">
        <v>201</v>
      </c>
      <c r="K214" s="57"/>
    </row>
    <row r="215" spans="1:12" x14ac:dyDescent="0.3">
      <c r="A215" s="72">
        <v>10</v>
      </c>
      <c r="B215" s="80" t="s">
        <v>467</v>
      </c>
      <c r="I215" s="80" t="s">
        <v>202</v>
      </c>
      <c r="K215" s="57" t="s">
        <v>203</v>
      </c>
    </row>
    <row r="216" spans="1:12" x14ac:dyDescent="0.3">
      <c r="A216" s="72">
        <v>9</v>
      </c>
      <c r="B216" s="80" t="s">
        <v>468</v>
      </c>
      <c r="I216" s="80" t="s">
        <v>7</v>
      </c>
      <c r="K216" s="57" t="s">
        <v>204</v>
      </c>
    </row>
    <row r="217" spans="1:12" x14ac:dyDescent="0.3">
      <c r="A217" s="72">
        <v>8</v>
      </c>
      <c r="B217" s="80" t="s">
        <v>469</v>
      </c>
      <c r="I217" s="80" t="s">
        <v>21</v>
      </c>
      <c r="K217" s="57" t="s">
        <v>205</v>
      </c>
    </row>
    <row r="218" spans="1:12" x14ac:dyDescent="0.3">
      <c r="A218" s="72">
        <v>7</v>
      </c>
      <c r="B218" s="80" t="s">
        <v>470</v>
      </c>
      <c r="I218" s="80" t="s">
        <v>56</v>
      </c>
      <c r="K218" s="57" t="s">
        <v>206</v>
      </c>
    </row>
    <row r="219" spans="1:12" x14ac:dyDescent="0.3">
      <c r="A219" s="72">
        <v>6</v>
      </c>
      <c r="B219" s="80" t="s">
        <v>471</v>
      </c>
      <c r="I219" s="80" t="s">
        <v>55</v>
      </c>
      <c r="K219" s="57" t="s">
        <v>207</v>
      </c>
    </row>
    <row r="220" spans="1:12" x14ac:dyDescent="0.3">
      <c r="A220" s="72">
        <v>5</v>
      </c>
      <c r="B220" s="80" t="s">
        <v>482</v>
      </c>
      <c r="I220" s="80" t="s">
        <v>57</v>
      </c>
      <c r="K220" s="57" t="s">
        <v>205</v>
      </c>
    </row>
    <row r="221" spans="1:12" x14ac:dyDescent="0.3">
      <c r="A221" s="72">
        <v>4</v>
      </c>
      <c r="B221" s="80" t="s">
        <v>472</v>
      </c>
      <c r="I221" s="80" t="s">
        <v>208</v>
      </c>
      <c r="K221" s="57" t="s">
        <v>207</v>
      </c>
    </row>
    <row r="222" spans="1:12" x14ac:dyDescent="0.3">
      <c r="A222" s="72">
        <v>3</v>
      </c>
      <c r="B222" s="80" t="s">
        <v>473</v>
      </c>
      <c r="I222" s="80" t="s">
        <v>20</v>
      </c>
      <c r="K222" s="57" t="s">
        <v>207</v>
      </c>
    </row>
    <row r="223" spans="1:12" x14ac:dyDescent="0.3">
      <c r="A223" s="72">
        <v>2</v>
      </c>
      <c r="B223" s="80" t="s">
        <v>474</v>
      </c>
    </row>
    <row r="224" spans="1:12" x14ac:dyDescent="0.3">
      <c r="A224" s="72">
        <v>1</v>
      </c>
      <c r="B224" s="80" t="s">
        <v>475</v>
      </c>
    </row>
    <row r="225" spans="1:2" x14ac:dyDescent="0.3">
      <c r="A225" s="72">
        <v>0</v>
      </c>
      <c r="B225" s="80" t="s">
        <v>476</v>
      </c>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22" zoomScale="170" zoomScaleNormal="170" workbookViewId="0">
      <selection activeCell="I40" sqref="I40"/>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62</v>
      </c>
      <c r="H1" s="151" t="s">
        <v>173</v>
      </c>
      <c r="I1" s="81" t="s">
        <v>348</v>
      </c>
      <c r="J1" s="100"/>
      <c r="K1" s="61"/>
      <c r="L1" s="174"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1045</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18" t="s">
        <v>127</v>
      </c>
      <c r="B141" s="218"/>
      <c r="C141" s="218"/>
      <c r="D141" s="218"/>
      <c r="E141" s="218"/>
      <c r="F141" s="218"/>
      <c r="G141" s="218"/>
      <c r="H141" s="218"/>
      <c r="I141" s="218"/>
      <c r="J141" s="218"/>
      <c r="K141" s="218"/>
    </row>
    <row r="142" spans="1:12" x14ac:dyDescent="0.3">
      <c r="A142" s="218"/>
      <c r="B142" s="218"/>
      <c r="C142" s="218"/>
      <c r="D142" s="218"/>
      <c r="E142" s="218"/>
      <c r="F142" s="218"/>
      <c r="G142" s="218"/>
      <c r="H142" s="218"/>
      <c r="I142" s="218"/>
      <c r="J142" s="218"/>
      <c r="K142" s="218"/>
    </row>
    <row r="143" spans="1:12" x14ac:dyDescent="0.3">
      <c r="A143" s="218"/>
      <c r="B143" s="218"/>
      <c r="C143" s="218"/>
      <c r="D143" s="218"/>
      <c r="E143" s="218"/>
      <c r="F143" s="218"/>
      <c r="G143" s="218"/>
      <c r="H143" s="218"/>
      <c r="I143" s="218"/>
      <c r="J143" s="218"/>
      <c r="K143" s="218"/>
    </row>
    <row r="145" spans="1:12" x14ac:dyDescent="0.3">
      <c r="A145" s="90" t="s">
        <v>6</v>
      </c>
    </row>
    <row r="146" spans="1:12" x14ac:dyDescent="0.3">
      <c r="A146" s="218" t="s">
        <v>124</v>
      </c>
      <c r="B146" s="218"/>
      <c r="C146" s="218"/>
      <c r="D146" s="218"/>
      <c r="E146" s="218"/>
      <c r="F146" s="218"/>
      <c r="G146" s="218"/>
      <c r="H146" s="218"/>
      <c r="I146" s="218"/>
      <c r="J146" s="218"/>
      <c r="K146" s="218"/>
    </row>
    <row r="147" spans="1:12" x14ac:dyDescent="0.3">
      <c r="A147" s="218"/>
      <c r="B147" s="218"/>
      <c r="C147" s="218"/>
      <c r="D147" s="218"/>
      <c r="E147" s="218"/>
      <c r="F147" s="218"/>
      <c r="G147" s="218"/>
      <c r="H147" s="218"/>
      <c r="I147" s="218"/>
      <c r="J147" s="218"/>
      <c r="K147" s="218"/>
    </row>
    <row r="148" spans="1:12" x14ac:dyDescent="0.3">
      <c r="A148" s="218"/>
      <c r="B148" s="218"/>
      <c r="C148" s="218"/>
      <c r="D148" s="218"/>
      <c r="E148" s="218"/>
      <c r="F148" s="218"/>
      <c r="G148" s="218"/>
      <c r="H148" s="218"/>
      <c r="I148" s="218"/>
      <c r="J148" s="218"/>
      <c r="K148" s="218"/>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4" t="s">
        <v>541</v>
      </c>
    </row>
    <row r="3" spans="1:12" x14ac:dyDescent="0.3">
      <c r="A3" s="156" t="s">
        <v>0</v>
      </c>
      <c r="B3" s="57" t="s">
        <v>501</v>
      </c>
      <c r="E3" s="156" t="s">
        <v>2</v>
      </c>
      <c r="F3" s="152" t="s">
        <v>537</v>
      </c>
      <c r="H3" s="55" t="s">
        <v>539</v>
      </c>
      <c r="K3" s="57"/>
    </row>
    <row r="4" spans="1:12" x14ac:dyDescent="0.3">
      <c r="A4" s="156" t="s">
        <v>343</v>
      </c>
      <c r="B4" s="57" t="s">
        <v>125</v>
      </c>
      <c r="E4" s="156" t="s">
        <v>3</v>
      </c>
      <c r="F4" s="152" t="s">
        <v>538</v>
      </c>
      <c r="H4" s="55" t="s">
        <v>540</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542</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5" t="s">
        <v>437</v>
      </c>
      <c r="F18" s="80" t="s">
        <v>545</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546</v>
      </c>
      <c r="B30" s="54">
        <v>1</v>
      </c>
      <c r="C30" s="176" t="s">
        <v>547</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548</v>
      </c>
      <c r="B32" s="54">
        <v>1</v>
      </c>
      <c r="C32" s="80" t="s">
        <v>549</v>
      </c>
      <c r="H32" s="63" t="s">
        <v>70</v>
      </c>
      <c r="J32" s="167" t="s">
        <v>131</v>
      </c>
      <c r="L32" s="54"/>
    </row>
    <row r="33" spans="1:12" x14ac:dyDescent="0.3">
      <c r="A33" s="80" t="s">
        <v>548</v>
      </c>
      <c r="B33" s="54">
        <v>2</v>
      </c>
      <c r="C33" s="80" t="s">
        <v>550</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710</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977</v>
      </c>
      <c r="O109" s="54">
        <v>2</v>
      </c>
      <c r="P109" s="80" t="s">
        <v>783</v>
      </c>
      <c r="R109" s="186" t="s">
        <v>784</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18" t="s">
        <v>127</v>
      </c>
      <c r="B141" s="218"/>
      <c r="C141" s="218"/>
      <c r="D141" s="218"/>
      <c r="E141" s="218"/>
      <c r="F141" s="218"/>
      <c r="G141" s="218"/>
      <c r="H141" s="218"/>
      <c r="I141" s="218"/>
      <c r="J141" s="218"/>
      <c r="K141" s="218"/>
    </row>
    <row r="142" spans="1:12" x14ac:dyDescent="0.3">
      <c r="A142" s="218"/>
      <c r="B142" s="218"/>
      <c r="C142" s="218"/>
      <c r="D142" s="218"/>
      <c r="E142" s="218"/>
      <c r="F142" s="218"/>
      <c r="G142" s="218"/>
      <c r="H142" s="218"/>
      <c r="I142" s="218"/>
      <c r="J142" s="218"/>
      <c r="K142" s="218"/>
    </row>
    <row r="143" spans="1:12" x14ac:dyDescent="0.3">
      <c r="A143" s="218"/>
      <c r="B143" s="218"/>
      <c r="C143" s="218"/>
      <c r="D143" s="218"/>
      <c r="E143" s="218"/>
      <c r="F143" s="218"/>
      <c r="G143" s="218"/>
      <c r="H143" s="218"/>
      <c r="I143" s="218"/>
      <c r="J143" s="218"/>
      <c r="K143" s="218"/>
    </row>
    <row r="145" spans="1:12" x14ac:dyDescent="0.3">
      <c r="A145" s="90" t="s">
        <v>6</v>
      </c>
    </row>
    <row r="146" spans="1:12" x14ac:dyDescent="0.3">
      <c r="A146" s="218" t="s">
        <v>124</v>
      </c>
      <c r="B146" s="218"/>
      <c r="C146" s="218"/>
      <c r="D146" s="218"/>
      <c r="E146" s="218"/>
      <c r="F146" s="218"/>
      <c r="G146" s="218"/>
      <c r="H146" s="218"/>
      <c r="I146" s="218"/>
      <c r="J146" s="218"/>
      <c r="K146" s="218"/>
    </row>
    <row r="147" spans="1:12" x14ac:dyDescent="0.3">
      <c r="A147" s="218"/>
      <c r="B147" s="218"/>
      <c r="C147" s="218"/>
      <c r="D147" s="218"/>
      <c r="E147" s="218"/>
      <c r="F147" s="218"/>
      <c r="G147" s="218"/>
      <c r="H147" s="218"/>
      <c r="I147" s="218"/>
      <c r="J147" s="218"/>
      <c r="K147" s="218"/>
    </row>
    <row r="148" spans="1:12" x14ac:dyDescent="0.3">
      <c r="A148" s="218"/>
      <c r="B148" s="218"/>
      <c r="C148" s="218"/>
      <c r="D148" s="218"/>
      <c r="E148" s="218"/>
      <c r="F148" s="218"/>
      <c r="G148" s="218"/>
      <c r="H148" s="218"/>
      <c r="I148" s="218"/>
      <c r="J148" s="218"/>
      <c r="K148" s="218"/>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25" t="s">
        <v>1028</v>
      </c>
      <c r="B1" s="225"/>
      <c r="C1" s="225"/>
      <c r="D1" s="225"/>
      <c r="E1" s="225"/>
      <c r="F1" s="225"/>
      <c r="G1" s="225"/>
      <c r="H1" s="225"/>
      <c r="I1" s="225"/>
      <c r="J1" s="226">
        <f>C7</f>
        <v>0.8125</v>
      </c>
      <c r="K1" s="227"/>
      <c r="L1" s="219">
        <f>C8</f>
        <v>0.83333333333333337</v>
      </c>
      <c r="M1" s="227"/>
      <c r="N1" s="219">
        <f>C9</f>
        <v>0.85416666666666674</v>
      </c>
      <c r="O1" s="227"/>
      <c r="P1" s="219">
        <f>C10</f>
        <v>0.87500000000000011</v>
      </c>
      <c r="Q1" s="227"/>
      <c r="R1" s="219">
        <f>C11</f>
        <v>0.89583333333333348</v>
      </c>
      <c r="S1" s="220"/>
    </row>
    <row r="2" spans="1:19" ht="18.600000000000001" x14ac:dyDescent="0.4">
      <c r="J2" s="197"/>
      <c r="K2" s="188"/>
      <c r="L2" s="198"/>
      <c r="M2" s="188"/>
      <c r="N2" s="198"/>
      <c r="O2" s="188"/>
      <c r="P2" s="198"/>
      <c r="Q2" s="188"/>
      <c r="R2" s="198"/>
      <c r="S2" s="199"/>
    </row>
    <row r="3" spans="1:19" ht="18.600000000000001" x14ac:dyDescent="0.4">
      <c r="B3" s="192" t="s">
        <v>1005</v>
      </c>
      <c r="C3" s="192" t="s">
        <v>1006</v>
      </c>
      <c r="E3" s="192" t="s">
        <v>1008</v>
      </c>
      <c r="J3" s="197"/>
      <c r="K3" s="188"/>
      <c r="L3" s="198"/>
      <c r="M3" s="188"/>
      <c r="N3" s="198"/>
      <c r="O3" s="188"/>
      <c r="P3" s="198"/>
      <c r="Q3" s="188"/>
      <c r="R3" s="198"/>
      <c r="S3" s="199"/>
    </row>
    <row r="4" spans="1:19" ht="18.600000000000001" x14ac:dyDescent="0.4">
      <c r="A4" s="7" t="s">
        <v>1007</v>
      </c>
      <c r="B4" s="6">
        <v>10</v>
      </c>
      <c r="C4" s="6">
        <f>B4*3</f>
        <v>30</v>
      </c>
      <c r="J4" s="197"/>
      <c r="K4" s="188"/>
      <c r="L4" s="198"/>
      <c r="M4" s="188"/>
      <c r="N4" s="198"/>
      <c r="O4" s="188"/>
      <c r="P4" s="198"/>
      <c r="Q4" s="188"/>
      <c r="R4" s="198"/>
      <c r="S4" s="199"/>
    </row>
    <row r="5" spans="1:19" ht="18.600000000000001" x14ac:dyDescent="0.4">
      <c r="J5" s="200"/>
      <c r="K5" s="189"/>
      <c r="L5" s="187"/>
      <c r="M5" s="189"/>
      <c r="N5" s="190"/>
      <c r="O5" s="189"/>
      <c r="P5" s="190"/>
      <c r="Q5" s="189"/>
      <c r="R5" s="190"/>
      <c r="S5" s="201"/>
    </row>
    <row r="6" spans="1:19" ht="18.600000000000001" x14ac:dyDescent="0.4">
      <c r="A6" s="193" t="s">
        <v>1032</v>
      </c>
      <c r="B6" s="194"/>
      <c r="C6" s="194">
        <v>0.77083333333333304</v>
      </c>
      <c r="F6" s="7" t="s">
        <v>1027</v>
      </c>
      <c r="J6" s="221">
        <f>C12</f>
        <v>0.91666666666666685</v>
      </c>
      <c r="K6" s="222"/>
      <c r="L6" s="223">
        <f>C13</f>
        <v>0.93750000000000022</v>
      </c>
      <c r="M6" s="222"/>
      <c r="N6" s="223">
        <f>C14</f>
        <v>0.95833333333333359</v>
      </c>
      <c r="O6" s="222"/>
      <c r="P6" s="223">
        <f>C15</f>
        <v>0.97916666666666696</v>
      </c>
      <c r="Q6" s="222"/>
      <c r="R6" s="223">
        <f>C16</f>
        <v>1.0000000000000002</v>
      </c>
      <c r="S6" s="224"/>
    </row>
    <row r="7" spans="1:19" ht="18.600000000000001" x14ac:dyDescent="0.4">
      <c r="A7" s="7" t="s">
        <v>1029</v>
      </c>
      <c r="B7" s="195">
        <v>0.89583333333333337</v>
      </c>
      <c r="C7" s="194">
        <v>0.8125</v>
      </c>
      <c r="D7" s="196">
        <v>10</v>
      </c>
      <c r="E7" s="6" t="s">
        <v>1009</v>
      </c>
      <c r="F7" s="7" t="s">
        <v>1040</v>
      </c>
      <c r="J7" s="197"/>
      <c r="K7" s="188"/>
      <c r="L7" s="198"/>
      <c r="M7" s="188"/>
      <c r="N7" s="198"/>
      <c r="O7" s="188"/>
      <c r="P7" s="198"/>
      <c r="Q7" s="188"/>
      <c r="R7" s="198"/>
      <c r="S7" s="199"/>
    </row>
    <row r="8" spans="1:19" ht="18.600000000000001" x14ac:dyDescent="0.4">
      <c r="A8" s="7" t="s">
        <v>1030</v>
      </c>
      <c r="B8" s="194">
        <f t="shared" ref="B8:B31" si="0">B7 + $B$4/1440</f>
        <v>0.90277777777777779</v>
      </c>
      <c r="C8" s="194">
        <f t="shared" ref="C8:C31" si="1">C7 + $C$4/1440</f>
        <v>0.83333333333333337</v>
      </c>
      <c r="D8" s="6">
        <f>D7+$B$4</f>
        <v>20</v>
      </c>
      <c r="E8" s="6" t="s">
        <v>1009</v>
      </c>
      <c r="J8" s="197"/>
      <c r="K8" s="188"/>
      <c r="L8" s="198"/>
      <c r="M8" s="188"/>
      <c r="N8" s="198"/>
      <c r="O8" s="188"/>
      <c r="P8" s="198"/>
      <c r="Q8" s="188"/>
      <c r="R8" s="198"/>
      <c r="S8" s="199"/>
    </row>
    <row r="9" spans="1:19" ht="18.600000000000001" x14ac:dyDescent="0.4">
      <c r="B9" s="194">
        <f t="shared" si="0"/>
        <v>0.90972222222222221</v>
      </c>
      <c r="C9" s="194">
        <f t="shared" si="1"/>
        <v>0.85416666666666674</v>
      </c>
      <c r="D9" s="6">
        <f>D8+$B$4</f>
        <v>30</v>
      </c>
      <c r="E9" s="6" t="s">
        <v>1010</v>
      </c>
      <c r="J9" s="197"/>
      <c r="K9" s="188"/>
      <c r="L9" s="198"/>
      <c r="M9" s="188"/>
      <c r="N9" s="198"/>
      <c r="O9" s="188"/>
      <c r="P9" s="198"/>
      <c r="Q9" s="188"/>
      <c r="R9" s="198"/>
      <c r="S9" s="199"/>
    </row>
    <row r="10" spans="1:19" ht="18.600000000000001" x14ac:dyDescent="0.4">
      <c r="B10" s="194">
        <f t="shared" si="0"/>
        <v>0.91666666666666663</v>
      </c>
      <c r="C10" s="194">
        <f t="shared" si="1"/>
        <v>0.87500000000000011</v>
      </c>
      <c r="D10" s="6">
        <f>D9+$B$4</f>
        <v>40</v>
      </c>
      <c r="E10" s="6" t="s">
        <v>1010</v>
      </c>
      <c r="J10" s="200"/>
      <c r="K10" s="189"/>
      <c r="L10" s="187"/>
      <c r="M10" s="189"/>
      <c r="N10" s="190"/>
      <c r="O10" s="189"/>
      <c r="P10" s="190"/>
      <c r="Q10" s="189"/>
      <c r="R10" s="190"/>
      <c r="S10" s="201"/>
    </row>
    <row r="11" spans="1:19" ht="18.600000000000001" x14ac:dyDescent="0.4">
      <c r="A11" s="7" t="s">
        <v>1033</v>
      </c>
      <c r="B11" s="194">
        <f t="shared" si="0"/>
        <v>0.92361111111111105</v>
      </c>
      <c r="C11" s="194">
        <f t="shared" si="1"/>
        <v>0.89583333333333348</v>
      </c>
      <c r="D11" s="6">
        <f>D10+$B$4</f>
        <v>50</v>
      </c>
      <c r="E11" s="6" t="s">
        <v>1010</v>
      </c>
      <c r="F11" s="7" t="s">
        <v>1022</v>
      </c>
      <c r="J11" s="221">
        <f>C17</f>
        <v>1.0208333333333335</v>
      </c>
      <c r="K11" s="222"/>
      <c r="L11" s="223">
        <f>C18</f>
        <v>1.0416666666666667</v>
      </c>
      <c r="M11" s="222"/>
      <c r="N11" s="223">
        <f>C19</f>
        <v>1.0625</v>
      </c>
      <c r="O11" s="222"/>
      <c r="P11" s="223">
        <f>C20</f>
        <v>1.0833333333333333</v>
      </c>
      <c r="Q11" s="222"/>
      <c r="R11" s="223">
        <f>C21</f>
        <v>1.1041666666666665</v>
      </c>
      <c r="S11" s="224"/>
    </row>
    <row r="12" spans="1:19" ht="18.600000000000001" x14ac:dyDescent="0.4">
      <c r="B12" s="194">
        <f t="shared" si="0"/>
        <v>0.93055555555555547</v>
      </c>
      <c r="C12" s="194">
        <f t="shared" si="1"/>
        <v>0.91666666666666685</v>
      </c>
      <c r="D12" s="196">
        <v>10</v>
      </c>
      <c r="E12" s="6" t="s">
        <v>1011</v>
      </c>
      <c r="J12" s="197"/>
      <c r="K12" s="188"/>
      <c r="L12" s="198"/>
      <c r="M12" s="188"/>
      <c r="N12" s="198"/>
      <c r="O12" s="188"/>
      <c r="P12" s="198"/>
      <c r="Q12" s="188"/>
      <c r="R12" s="198"/>
      <c r="S12" s="199"/>
    </row>
    <row r="13" spans="1:19" ht="18.600000000000001" x14ac:dyDescent="0.4">
      <c r="B13" s="194">
        <f t="shared" si="0"/>
        <v>0.93749999999999989</v>
      </c>
      <c r="C13" s="194">
        <f t="shared" si="1"/>
        <v>0.93750000000000022</v>
      </c>
      <c r="D13" s="6">
        <f>D12+$B$4</f>
        <v>20</v>
      </c>
      <c r="E13" s="6" t="s">
        <v>1011</v>
      </c>
      <c r="F13" s="7" t="s">
        <v>1023</v>
      </c>
      <c r="J13" s="197"/>
      <c r="K13" s="188"/>
      <c r="L13" s="198"/>
      <c r="M13" s="188"/>
      <c r="N13" s="198"/>
      <c r="O13" s="188"/>
      <c r="P13" s="198"/>
      <c r="Q13" s="188"/>
      <c r="R13" s="198"/>
      <c r="S13" s="199"/>
    </row>
    <row r="14" spans="1:19" ht="18.600000000000001" x14ac:dyDescent="0.4">
      <c r="B14" s="194">
        <f t="shared" si="0"/>
        <v>0.94444444444444431</v>
      </c>
      <c r="C14" s="194">
        <f t="shared" si="1"/>
        <v>0.95833333333333359</v>
      </c>
      <c r="D14" s="196">
        <v>10</v>
      </c>
      <c r="E14" s="6" t="s">
        <v>1012</v>
      </c>
      <c r="J14" s="197"/>
      <c r="K14" s="188"/>
      <c r="L14" s="198"/>
      <c r="M14" s="188"/>
      <c r="N14" s="198"/>
      <c r="O14" s="188"/>
      <c r="P14" s="198"/>
      <c r="Q14" s="188"/>
      <c r="R14" s="198"/>
      <c r="S14" s="199"/>
    </row>
    <row r="15" spans="1:19" ht="18.600000000000001" x14ac:dyDescent="0.4">
      <c r="B15" s="194">
        <f t="shared" si="0"/>
        <v>0.95138888888888873</v>
      </c>
      <c r="C15" s="194">
        <f t="shared" si="1"/>
        <v>0.97916666666666696</v>
      </c>
      <c r="D15" s="6">
        <f>D14+$B$4</f>
        <v>20</v>
      </c>
      <c r="E15" s="6" t="s">
        <v>1012</v>
      </c>
      <c r="J15" s="200"/>
      <c r="K15" s="189"/>
      <c r="L15" s="187"/>
      <c r="M15" s="189"/>
      <c r="N15" s="190"/>
      <c r="O15" s="189"/>
      <c r="P15" s="190"/>
      <c r="Q15" s="189"/>
      <c r="R15" s="190"/>
      <c r="S15" s="201"/>
    </row>
    <row r="16" spans="1:19" ht="18.600000000000001" x14ac:dyDescent="0.4">
      <c r="A16" s="7" t="s">
        <v>1034</v>
      </c>
      <c r="B16" s="194">
        <f t="shared" si="0"/>
        <v>0.95833333333333315</v>
      </c>
      <c r="C16" s="194">
        <f t="shared" si="1"/>
        <v>1.0000000000000002</v>
      </c>
      <c r="D16" s="6">
        <f>D15+$B$4</f>
        <v>30</v>
      </c>
      <c r="E16" s="6" t="s">
        <v>1012</v>
      </c>
      <c r="J16" s="221">
        <f>C22</f>
        <v>1.1249999999999998</v>
      </c>
      <c r="K16" s="222"/>
      <c r="L16" s="223">
        <f>C23</f>
        <v>1.145833333333333</v>
      </c>
      <c r="M16" s="222"/>
      <c r="N16" s="223">
        <f>C24</f>
        <v>1.1666666666666663</v>
      </c>
      <c r="O16" s="222"/>
      <c r="P16" s="223">
        <f>C25</f>
        <v>1.1874999999999996</v>
      </c>
      <c r="Q16" s="222"/>
      <c r="R16" s="223">
        <f>C26</f>
        <v>1.2083333333333328</v>
      </c>
      <c r="S16" s="224"/>
    </row>
    <row r="17" spans="1:19" ht="18.600000000000001" x14ac:dyDescent="0.4">
      <c r="B17" s="194">
        <f t="shared" si="0"/>
        <v>0.96527777777777757</v>
      </c>
      <c r="C17" s="194">
        <f t="shared" si="1"/>
        <v>1.0208333333333335</v>
      </c>
      <c r="D17" s="6">
        <f>D16+$B$4</f>
        <v>40</v>
      </c>
      <c r="E17" s="6" t="s">
        <v>1012</v>
      </c>
      <c r="F17" s="7" t="s">
        <v>1041</v>
      </c>
      <c r="J17" s="197"/>
      <c r="K17" s="188"/>
      <c r="L17" s="198"/>
      <c r="M17" s="188"/>
      <c r="N17" s="198"/>
      <c r="O17" s="188"/>
      <c r="P17" s="198"/>
      <c r="Q17" s="188"/>
      <c r="R17" s="198"/>
      <c r="S17" s="199"/>
    </row>
    <row r="18" spans="1:19" ht="18.600000000000001" x14ac:dyDescent="0.4">
      <c r="A18" s="7" t="s">
        <v>1037</v>
      </c>
      <c r="B18" s="194">
        <f t="shared" si="0"/>
        <v>0.97222222222222199</v>
      </c>
      <c r="C18" s="194">
        <f t="shared" si="1"/>
        <v>1.0416666666666667</v>
      </c>
      <c r="D18" s="196">
        <v>10</v>
      </c>
      <c r="E18" s="6" t="s">
        <v>1013</v>
      </c>
      <c r="J18" s="197"/>
      <c r="K18" s="188"/>
      <c r="L18" s="198"/>
      <c r="M18" s="188"/>
      <c r="N18" s="198"/>
      <c r="O18" s="188"/>
      <c r="P18" s="198"/>
      <c r="Q18" s="188"/>
      <c r="R18" s="198"/>
      <c r="S18" s="199"/>
    </row>
    <row r="19" spans="1:19" ht="18.600000000000001" x14ac:dyDescent="0.4">
      <c r="B19" s="194">
        <f t="shared" si="0"/>
        <v>0.97916666666666641</v>
      </c>
      <c r="C19" s="194">
        <f t="shared" si="1"/>
        <v>1.0625</v>
      </c>
      <c r="D19" s="6">
        <f>D18+$B$4</f>
        <v>20</v>
      </c>
      <c r="E19" s="6" t="s">
        <v>1013</v>
      </c>
      <c r="J19" s="197"/>
      <c r="K19" s="188"/>
      <c r="L19" s="198"/>
      <c r="M19" s="188"/>
      <c r="N19" s="198"/>
      <c r="O19" s="188"/>
      <c r="P19" s="198"/>
      <c r="Q19" s="188"/>
      <c r="R19" s="198"/>
      <c r="S19" s="199"/>
    </row>
    <row r="20" spans="1:19" ht="18.600000000000001" x14ac:dyDescent="0.4">
      <c r="B20" s="194">
        <f t="shared" si="0"/>
        <v>0.98611111111111083</v>
      </c>
      <c r="C20" s="194">
        <f t="shared" si="1"/>
        <v>1.0833333333333333</v>
      </c>
      <c r="D20" s="6">
        <f>D19+$B$4</f>
        <v>30</v>
      </c>
      <c r="E20" s="6" t="s">
        <v>1013</v>
      </c>
      <c r="F20" s="7" t="s">
        <v>1042</v>
      </c>
      <c r="J20" s="200"/>
      <c r="K20" s="189"/>
      <c r="L20" s="187"/>
      <c r="M20" s="189"/>
      <c r="N20" s="190"/>
      <c r="O20" s="189"/>
      <c r="P20" s="190"/>
      <c r="Q20" s="189"/>
      <c r="R20" s="190"/>
      <c r="S20" s="201"/>
    </row>
    <row r="21" spans="1:19" ht="18.600000000000001" x14ac:dyDescent="0.4">
      <c r="B21" s="194">
        <f t="shared" si="0"/>
        <v>0.99305555555555525</v>
      </c>
      <c r="C21" s="194">
        <f t="shared" si="1"/>
        <v>1.1041666666666665</v>
      </c>
      <c r="D21" s="196">
        <v>10</v>
      </c>
      <c r="E21" s="6" t="s">
        <v>1014</v>
      </c>
      <c r="F21" s="7" t="s">
        <v>1024</v>
      </c>
      <c r="J21" s="221">
        <f>C27</f>
        <v>1.2291666666666661</v>
      </c>
      <c r="K21" s="222"/>
      <c r="L21" s="223">
        <f>C28</f>
        <v>1.2499999999999993</v>
      </c>
      <c r="M21" s="222"/>
      <c r="N21" s="223">
        <f>C29</f>
        <v>1.2708333333333326</v>
      </c>
      <c r="O21" s="222"/>
      <c r="P21" s="223">
        <f>C30</f>
        <v>1.2916666666666659</v>
      </c>
      <c r="Q21" s="222"/>
      <c r="R21" s="223">
        <f>C31</f>
        <v>1.3124999999999991</v>
      </c>
      <c r="S21" s="224"/>
    </row>
    <row r="22" spans="1:19" x14ac:dyDescent="0.35">
      <c r="B22" s="194">
        <f t="shared" si="0"/>
        <v>0.99999999999999967</v>
      </c>
      <c r="C22" s="194">
        <f t="shared" si="1"/>
        <v>1.1249999999999998</v>
      </c>
      <c r="D22" s="196">
        <v>10</v>
      </c>
      <c r="E22" s="6" t="s">
        <v>1015</v>
      </c>
      <c r="J22" s="202"/>
      <c r="K22" s="191"/>
      <c r="L22" s="203"/>
      <c r="M22" s="191"/>
      <c r="N22" s="203"/>
      <c r="O22" s="191"/>
      <c r="P22" s="203"/>
      <c r="Q22" s="191"/>
      <c r="R22" s="203"/>
      <c r="S22" s="204"/>
    </row>
    <row r="23" spans="1:19" x14ac:dyDescent="0.35">
      <c r="A23" s="7" t="s">
        <v>1035</v>
      </c>
      <c r="B23" s="194">
        <f t="shared" si="0"/>
        <v>1.0069444444444442</v>
      </c>
      <c r="C23" s="194">
        <f t="shared" si="1"/>
        <v>1.145833333333333</v>
      </c>
      <c r="D23" s="6">
        <f>D22+$B$4</f>
        <v>20</v>
      </c>
      <c r="E23" s="6" t="s">
        <v>1015</v>
      </c>
      <c r="J23" s="202"/>
      <c r="K23" s="191"/>
      <c r="L23" s="203"/>
      <c r="M23" s="191"/>
      <c r="N23" s="203"/>
      <c r="O23" s="191"/>
      <c r="P23" s="203"/>
      <c r="Q23" s="191"/>
      <c r="R23" s="203"/>
      <c r="S23" s="204"/>
    </row>
    <row r="24" spans="1:19" x14ac:dyDescent="0.35">
      <c r="B24" s="194">
        <f t="shared" si="0"/>
        <v>1.0138888888888886</v>
      </c>
      <c r="C24" s="194">
        <f t="shared" si="1"/>
        <v>1.1666666666666663</v>
      </c>
      <c r="D24" s="6">
        <f>D23+$B$4</f>
        <v>30</v>
      </c>
      <c r="E24" s="6" t="s">
        <v>1016</v>
      </c>
      <c r="J24" s="202"/>
      <c r="K24" s="191"/>
      <c r="L24" s="203"/>
      <c r="M24" s="191"/>
      <c r="N24" s="203"/>
      <c r="O24" s="191"/>
      <c r="P24" s="203"/>
      <c r="Q24" s="191"/>
      <c r="R24" s="203"/>
      <c r="S24" s="204"/>
    </row>
    <row r="25" spans="1:19" ht="18.600000000000001" thickBot="1" x14ac:dyDescent="0.4">
      <c r="B25" s="194">
        <f t="shared" si="0"/>
        <v>1.020833333333333</v>
      </c>
      <c r="C25" s="194">
        <f t="shared" si="1"/>
        <v>1.1874999999999996</v>
      </c>
      <c r="D25" s="6">
        <f>D24+$B$4</f>
        <v>40</v>
      </c>
      <c r="E25" s="6" t="s">
        <v>1017</v>
      </c>
      <c r="J25" s="205"/>
      <c r="K25" s="206"/>
      <c r="L25" s="207"/>
      <c r="M25" s="206"/>
      <c r="N25" s="208"/>
      <c r="O25" s="206"/>
      <c r="P25" s="208"/>
      <c r="Q25" s="206"/>
      <c r="R25" s="208"/>
      <c r="S25" s="209"/>
    </row>
    <row r="26" spans="1:19" x14ac:dyDescent="0.35">
      <c r="B26" s="194">
        <f t="shared" si="0"/>
        <v>1.0277777777777775</v>
      </c>
      <c r="C26" s="194">
        <f t="shared" si="1"/>
        <v>1.2083333333333328</v>
      </c>
      <c r="D26" s="6">
        <f>D25+$B$4</f>
        <v>50</v>
      </c>
      <c r="E26" s="6" t="s">
        <v>1018</v>
      </c>
      <c r="F26" s="7" t="s">
        <v>1039</v>
      </c>
    </row>
    <row r="27" spans="1:19" x14ac:dyDescent="0.35">
      <c r="A27" s="7" t="s">
        <v>1036</v>
      </c>
      <c r="B27" s="194">
        <f t="shared" si="0"/>
        <v>1.0347222222222219</v>
      </c>
      <c r="C27" s="194">
        <f t="shared" si="1"/>
        <v>1.2291666666666661</v>
      </c>
      <c r="D27" s="6">
        <f>D26+$B$4</f>
        <v>60</v>
      </c>
      <c r="E27" s="6" t="s">
        <v>1018</v>
      </c>
      <c r="F27" s="7" t="s">
        <v>1038</v>
      </c>
    </row>
    <row r="28" spans="1:19" x14ac:dyDescent="0.35">
      <c r="B28" s="194">
        <f t="shared" si="0"/>
        <v>1.0416666666666663</v>
      </c>
      <c r="C28" s="194">
        <f t="shared" si="1"/>
        <v>1.2499999999999993</v>
      </c>
      <c r="D28" s="196">
        <v>10</v>
      </c>
      <c r="E28" s="6" t="s">
        <v>1019</v>
      </c>
      <c r="F28" s="7" t="s">
        <v>1025</v>
      </c>
    </row>
    <row r="29" spans="1:19" x14ac:dyDescent="0.35">
      <c r="B29" s="194">
        <f t="shared" si="0"/>
        <v>1.0486111111111107</v>
      </c>
      <c r="C29" s="194">
        <f t="shared" si="1"/>
        <v>1.2708333333333326</v>
      </c>
      <c r="D29" s="6">
        <f>D28+$B$4</f>
        <v>20</v>
      </c>
      <c r="E29" s="6" t="s">
        <v>1019</v>
      </c>
    </row>
    <row r="30" spans="1:19" x14ac:dyDescent="0.35">
      <c r="B30" s="194">
        <f t="shared" si="0"/>
        <v>1.0555555555555551</v>
      </c>
      <c r="C30" s="194">
        <f t="shared" si="1"/>
        <v>1.2916666666666659</v>
      </c>
      <c r="D30" s="196">
        <v>10</v>
      </c>
      <c r="E30" s="6" t="s">
        <v>1020</v>
      </c>
      <c r="F30" s="7" t="s">
        <v>1026</v>
      </c>
    </row>
    <row r="31" spans="1:19" x14ac:dyDescent="0.35">
      <c r="A31" s="193" t="s">
        <v>1031</v>
      </c>
      <c r="B31" s="195">
        <f t="shared" si="0"/>
        <v>1.0624999999999996</v>
      </c>
      <c r="C31" s="194">
        <f t="shared" si="1"/>
        <v>1.3124999999999991</v>
      </c>
      <c r="D31" s="6">
        <f>D30+$B$4</f>
        <v>20</v>
      </c>
      <c r="E31" s="6" t="s">
        <v>1021</v>
      </c>
      <c r="F31" s="7" t="s">
        <v>1043</v>
      </c>
    </row>
  </sheetData>
  <mergeCells count="26">
    <mergeCell ref="J21:K21"/>
    <mergeCell ref="L21:M21"/>
    <mergeCell ref="N21:O21"/>
    <mergeCell ref="P21:Q21"/>
    <mergeCell ref="R21:S21"/>
    <mergeCell ref="A1:I1"/>
    <mergeCell ref="J11:K11"/>
    <mergeCell ref="L11:M11"/>
    <mergeCell ref="N11:O11"/>
    <mergeCell ref="P11:Q11"/>
    <mergeCell ref="J1:K1"/>
    <mergeCell ref="L1:M1"/>
    <mergeCell ref="N1:O1"/>
    <mergeCell ref="P1:Q1"/>
    <mergeCell ref="R11:S11"/>
    <mergeCell ref="J16:K16"/>
    <mergeCell ref="L16:M16"/>
    <mergeCell ref="N16:O16"/>
    <mergeCell ref="P16:Q16"/>
    <mergeCell ref="R16:S16"/>
    <mergeCell ref="R1:S1"/>
    <mergeCell ref="J6:K6"/>
    <mergeCell ref="L6:M6"/>
    <mergeCell ref="N6:O6"/>
    <mergeCell ref="P6:Q6"/>
    <mergeCell ref="R6:S6"/>
  </mergeCells>
  <phoneticPr fontId="11" type="noConversion"/>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1</v>
      </c>
      <c r="E3" s="44">
        <f t="shared" ref="E3:M3" ca="1" si="0">RANDBETWEEN(1,10)</f>
        <v>3</v>
      </c>
      <c r="F3" s="44">
        <f t="shared" ca="1" si="0"/>
        <v>10</v>
      </c>
      <c r="G3" s="44">
        <f t="shared" ca="1" si="0"/>
        <v>5</v>
      </c>
      <c r="H3" s="44">
        <f t="shared" ca="1" si="0"/>
        <v>9</v>
      </c>
      <c r="I3" s="44">
        <f t="shared" ca="1" si="0"/>
        <v>8</v>
      </c>
      <c r="J3" s="44">
        <f t="shared" ca="1" si="0"/>
        <v>5</v>
      </c>
      <c r="K3" s="44">
        <f t="shared" ca="1" si="0"/>
        <v>4</v>
      </c>
      <c r="L3" s="44">
        <f t="shared" ca="1" si="0"/>
        <v>9</v>
      </c>
      <c r="M3" s="44">
        <f t="shared" ca="1" si="0"/>
        <v>10</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0</v>
      </c>
      <c r="F5" s="46">
        <f t="shared" ref="F5:M5" ca="1" si="1">IF(F$3&gt;=$B5,1,0)+E5+IF(F$3=1,-1,0)</f>
        <v>1</v>
      </c>
      <c r="G5" s="46">
        <f t="shared" ca="1" si="1"/>
        <v>2</v>
      </c>
      <c r="H5" s="46">
        <f t="shared" ca="1" si="1"/>
        <v>3</v>
      </c>
      <c r="I5" s="46">
        <f t="shared" ca="1" si="1"/>
        <v>4</v>
      </c>
      <c r="J5" s="46">
        <f t="shared" ca="1" si="1"/>
        <v>5</v>
      </c>
      <c r="K5" s="46">
        <f t="shared" ca="1" si="1"/>
        <v>6</v>
      </c>
      <c r="L5" s="46">
        <f t="shared" ca="1" si="1"/>
        <v>7</v>
      </c>
      <c r="M5" s="46">
        <f t="shared" ca="1" si="1"/>
        <v>8</v>
      </c>
    </row>
    <row r="6" spans="2:14" x14ac:dyDescent="0.3">
      <c r="B6" s="52">
        <v>3</v>
      </c>
      <c r="C6" s="47"/>
      <c r="D6" s="46">
        <f t="shared" ref="D6:D13" ca="1" si="2">IF(D$3&gt;=$B6,1,0)+IF(D$3=1,-1,0)</f>
        <v>-1</v>
      </c>
      <c r="E6" s="46">
        <f t="shared" ref="E6:M13" ca="1" si="3">IF(E$3&gt;=$B6,1,0)+D6+IF(E$3=1,-1,0)</f>
        <v>0</v>
      </c>
      <c r="F6" s="46">
        <f t="shared" ca="1" si="3"/>
        <v>1</v>
      </c>
      <c r="G6" s="46">
        <f t="shared" ca="1" si="3"/>
        <v>2</v>
      </c>
      <c r="H6" s="46">
        <f t="shared" ca="1" si="3"/>
        <v>3</v>
      </c>
      <c r="I6" s="46">
        <f t="shared" ca="1" si="3"/>
        <v>4</v>
      </c>
      <c r="J6" s="46">
        <f t="shared" ca="1" si="3"/>
        <v>5</v>
      </c>
      <c r="K6" s="46">
        <f t="shared" ca="1" si="3"/>
        <v>6</v>
      </c>
      <c r="L6" s="46">
        <f t="shared" ca="1" si="3"/>
        <v>7</v>
      </c>
      <c r="M6" s="46">
        <f t="shared" ca="1" si="3"/>
        <v>8</v>
      </c>
    </row>
    <row r="7" spans="2:14" x14ac:dyDescent="0.3">
      <c r="B7" s="52">
        <v>4</v>
      </c>
      <c r="C7" s="47"/>
      <c r="D7" s="46">
        <f t="shared" ca="1" si="2"/>
        <v>-1</v>
      </c>
      <c r="E7" s="46">
        <f t="shared" ca="1" si="3"/>
        <v>-1</v>
      </c>
      <c r="F7" s="46">
        <f t="shared" ca="1" si="3"/>
        <v>0</v>
      </c>
      <c r="G7" s="46">
        <f t="shared" ca="1" si="3"/>
        <v>1</v>
      </c>
      <c r="H7" s="46">
        <f t="shared" ca="1" si="3"/>
        <v>2</v>
      </c>
      <c r="I7" s="46">
        <f t="shared" ca="1" si="3"/>
        <v>3</v>
      </c>
      <c r="J7" s="46">
        <f t="shared" ca="1" si="3"/>
        <v>4</v>
      </c>
      <c r="K7" s="46">
        <f t="shared" ca="1" si="3"/>
        <v>5</v>
      </c>
      <c r="L7" s="46">
        <f t="shared" ca="1" si="3"/>
        <v>6</v>
      </c>
      <c r="M7" s="46">
        <f t="shared" ca="1" si="3"/>
        <v>7</v>
      </c>
    </row>
    <row r="8" spans="2:14" x14ac:dyDescent="0.3">
      <c r="B8" s="52">
        <v>5</v>
      </c>
      <c r="C8" s="47"/>
      <c r="D8" s="46">
        <f t="shared" ca="1" si="2"/>
        <v>-1</v>
      </c>
      <c r="E8" s="46">
        <f t="shared" ca="1" si="3"/>
        <v>-1</v>
      </c>
      <c r="F8" s="46">
        <f t="shared" ca="1" si="3"/>
        <v>0</v>
      </c>
      <c r="G8" s="46">
        <f t="shared" ca="1" si="3"/>
        <v>1</v>
      </c>
      <c r="H8" s="46">
        <f t="shared" ca="1" si="3"/>
        <v>2</v>
      </c>
      <c r="I8" s="46">
        <f t="shared" ca="1" si="3"/>
        <v>3</v>
      </c>
      <c r="J8" s="46">
        <f t="shared" ca="1" si="3"/>
        <v>4</v>
      </c>
      <c r="K8" s="46">
        <f t="shared" ca="1" si="3"/>
        <v>4</v>
      </c>
      <c r="L8" s="46">
        <f t="shared" ca="1" si="3"/>
        <v>5</v>
      </c>
      <c r="M8" s="46">
        <f t="shared" ca="1" si="3"/>
        <v>6</v>
      </c>
    </row>
    <row r="9" spans="2:14" x14ac:dyDescent="0.3">
      <c r="B9" s="52">
        <v>6</v>
      </c>
      <c r="C9" s="47"/>
      <c r="D9" s="46">
        <f t="shared" ca="1" si="2"/>
        <v>-1</v>
      </c>
      <c r="E9" s="46">
        <f t="shared" ca="1" si="3"/>
        <v>-1</v>
      </c>
      <c r="F9" s="46">
        <f t="shared" ca="1" si="3"/>
        <v>0</v>
      </c>
      <c r="G9" s="46">
        <f t="shared" ca="1" si="3"/>
        <v>0</v>
      </c>
      <c r="H9" s="46">
        <f t="shared" ca="1" si="3"/>
        <v>1</v>
      </c>
      <c r="I9" s="46">
        <f t="shared" ca="1" si="3"/>
        <v>2</v>
      </c>
      <c r="J9" s="46">
        <f t="shared" ca="1" si="3"/>
        <v>2</v>
      </c>
      <c r="K9" s="46">
        <f t="shared" ca="1" si="3"/>
        <v>2</v>
      </c>
      <c r="L9" s="46">
        <f t="shared" ca="1" si="3"/>
        <v>3</v>
      </c>
      <c r="M9" s="46">
        <f t="shared" ca="1" si="3"/>
        <v>4</v>
      </c>
    </row>
    <row r="10" spans="2:14" x14ac:dyDescent="0.3">
      <c r="B10" s="52">
        <v>7</v>
      </c>
      <c r="C10" s="47"/>
      <c r="D10" s="46">
        <f t="shared" ca="1" si="2"/>
        <v>-1</v>
      </c>
      <c r="E10" s="46">
        <f t="shared" ca="1" si="3"/>
        <v>-1</v>
      </c>
      <c r="F10" s="46">
        <f t="shared" ca="1" si="3"/>
        <v>0</v>
      </c>
      <c r="G10" s="46">
        <f t="shared" ca="1" si="3"/>
        <v>0</v>
      </c>
      <c r="H10" s="46">
        <f t="shared" ca="1" si="3"/>
        <v>1</v>
      </c>
      <c r="I10" s="46">
        <f t="shared" ca="1" si="3"/>
        <v>2</v>
      </c>
      <c r="J10" s="46">
        <f t="shared" ca="1" si="3"/>
        <v>2</v>
      </c>
      <c r="K10" s="46">
        <f t="shared" ca="1" si="3"/>
        <v>2</v>
      </c>
      <c r="L10" s="46">
        <f t="shared" ca="1" si="3"/>
        <v>3</v>
      </c>
      <c r="M10" s="46">
        <f t="shared" ca="1" si="3"/>
        <v>4</v>
      </c>
    </row>
    <row r="11" spans="2:14" x14ac:dyDescent="0.3">
      <c r="B11" s="52">
        <v>8</v>
      </c>
      <c r="C11" s="47"/>
      <c r="D11" s="46">
        <f t="shared" ca="1" si="2"/>
        <v>-1</v>
      </c>
      <c r="E11" s="46">
        <f t="shared" ca="1" si="3"/>
        <v>-1</v>
      </c>
      <c r="F11" s="46">
        <f t="shared" ca="1" si="3"/>
        <v>0</v>
      </c>
      <c r="G11" s="46">
        <f t="shared" ca="1" si="3"/>
        <v>0</v>
      </c>
      <c r="H11" s="46">
        <f t="shared" ca="1" si="3"/>
        <v>1</v>
      </c>
      <c r="I11" s="46">
        <f t="shared" ca="1" si="3"/>
        <v>2</v>
      </c>
      <c r="J11" s="46">
        <f t="shared" ca="1" si="3"/>
        <v>2</v>
      </c>
      <c r="K11" s="46">
        <f t="shared" ca="1" si="3"/>
        <v>2</v>
      </c>
      <c r="L11" s="46">
        <f t="shared" ca="1" si="3"/>
        <v>3</v>
      </c>
      <c r="M11" s="46">
        <f t="shared" ca="1" si="3"/>
        <v>4</v>
      </c>
    </row>
    <row r="12" spans="2:14" x14ac:dyDescent="0.3">
      <c r="B12" s="52">
        <v>9</v>
      </c>
      <c r="C12" s="47"/>
      <c r="D12" s="46">
        <f t="shared" ca="1" si="2"/>
        <v>-1</v>
      </c>
      <c r="E12" s="46">
        <f t="shared" ca="1" si="3"/>
        <v>-1</v>
      </c>
      <c r="F12" s="46">
        <f t="shared" ca="1" si="3"/>
        <v>0</v>
      </c>
      <c r="G12" s="46">
        <f t="shared" ca="1" si="3"/>
        <v>0</v>
      </c>
      <c r="H12" s="46">
        <f t="shared" ca="1" si="3"/>
        <v>1</v>
      </c>
      <c r="I12" s="46">
        <f t="shared" ca="1" si="3"/>
        <v>1</v>
      </c>
      <c r="J12" s="46">
        <f t="shared" ca="1" si="3"/>
        <v>1</v>
      </c>
      <c r="K12" s="46">
        <f t="shared" ca="1" si="3"/>
        <v>1</v>
      </c>
      <c r="L12" s="46">
        <f t="shared" ca="1" si="3"/>
        <v>2</v>
      </c>
      <c r="M12" s="46">
        <f t="shared" ca="1" si="3"/>
        <v>3</v>
      </c>
    </row>
    <row r="13" spans="2:14" x14ac:dyDescent="0.3">
      <c r="B13" s="52">
        <v>10</v>
      </c>
      <c r="C13" s="47"/>
      <c r="D13" s="46">
        <f t="shared" ca="1" si="2"/>
        <v>-1</v>
      </c>
      <c r="E13" s="46">
        <f t="shared" ca="1" si="3"/>
        <v>-1</v>
      </c>
      <c r="F13" s="46">
        <f t="shared" ca="1" si="3"/>
        <v>0</v>
      </c>
      <c r="G13" s="46">
        <f t="shared" ca="1" si="3"/>
        <v>0</v>
      </c>
      <c r="H13" s="46">
        <f t="shared" ca="1" si="3"/>
        <v>0</v>
      </c>
      <c r="I13" s="46">
        <f t="shared" ca="1" si="3"/>
        <v>0</v>
      </c>
      <c r="J13" s="46">
        <f t="shared" ca="1" si="3"/>
        <v>0</v>
      </c>
      <c r="K13" s="46">
        <f t="shared" ca="1" si="3"/>
        <v>0</v>
      </c>
      <c r="L13" s="46">
        <f t="shared" ca="1" si="3"/>
        <v>0</v>
      </c>
      <c r="M13" s="46">
        <f t="shared" ca="1" si="3"/>
        <v>1</v>
      </c>
    </row>
    <row r="15" spans="2:14" x14ac:dyDescent="0.3">
      <c r="D15" s="46" t="s">
        <v>335</v>
      </c>
      <c r="E15" s="46" t="s">
        <v>336</v>
      </c>
      <c r="G15" s="46" t="s">
        <v>334</v>
      </c>
    </row>
    <row r="16" spans="2:14" ht="21" x14ac:dyDescent="0.3">
      <c r="D16" s="51">
        <v>8</v>
      </c>
      <c r="E16" s="48">
        <v>7</v>
      </c>
      <c r="G16" s="49" cm="1">
        <f t="array" aca="1" ref="G16" ca="1">INDIRECT(ADDRESS(E16+3,D16+3,1))</f>
        <v>2</v>
      </c>
    </row>
    <row r="17" spans="4:7" ht="8.4" customHeight="1" x14ac:dyDescent="0.3">
      <c r="G17" s="49"/>
    </row>
    <row r="18" spans="4:7" ht="15.6" x14ac:dyDescent="0.3">
      <c r="D18" s="46">
        <v>4</v>
      </c>
      <c r="E18" s="46">
        <v>6</v>
      </c>
      <c r="F18" s="46"/>
      <c r="G18" s="50" cm="1">
        <f t="array" aca="1" ref="G18" ca="1">INDIRECT(ADDRESS(E18+3,D18+3,1))</f>
        <v>0</v>
      </c>
    </row>
    <row r="19" spans="4:7" ht="15.6" x14ac:dyDescent="0.3">
      <c r="D19" s="46">
        <v>5</v>
      </c>
      <c r="E19" s="46">
        <v>6</v>
      </c>
      <c r="F19" s="46"/>
      <c r="G19" s="50" cm="1">
        <f t="array" aca="1" ref="G19" ca="1">INDIRECT(ADDRESS(E19+3,D19+3,1))</f>
        <v>1</v>
      </c>
    </row>
    <row r="20" spans="4:7" ht="15.6" x14ac:dyDescent="0.3">
      <c r="D20" s="46">
        <v>6</v>
      </c>
      <c r="E20" s="46">
        <v>6</v>
      </c>
      <c r="F20" s="46"/>
      <c r="G20" s="50" cm="1">
        <f t="array" aca="1" ref="G20" ca="1">INDIRECT(ADDRESS(E20+3,D20+3,1))</f>
        <v>2</v>
      </c>
    </row>
    <row r="21" spans="4:7" ht="15.6" x14ac:dyDescent="0.3">
      <c r="D21" s="46">
        <v>7</v>
      </c>
      <c r="E21" s="46">
        <v>6</v>
      </c>
      <c r="F21" s="46"/>
      <c r="G21" s="50" cm="1">
        <f t="array" aca="1" ref="G21" ca="1">INDIRECT(ADDRESS(E21+3,D21+3,1))</f>
        <v>2</v>
      </c>
    </row>
    <row r="22" spans="4:7" ht="15.6" x14ac:dyDescent="0.3">
      <c r="D22" s="46">
        <v>8</v>
      </c>
      <c r="E22" s="46">
        <v>6</v>
      </c>
      <c r="F22" s="46"/>
      <c r="G22" s="50" cm="1">
        <f t="array" aca="1" ref="G22" ca="1">INDIRECT(ADDRESS(E22+3,D22+3,1))</f>
        <v>2</v>
      </c>
    </row>
    <row r="23" spans="4:7" ht="15.6" x14ac:dyDescent="0.3">
      <c r="D23" s="46">
        <v>9</v>
      </c>
      <c r="E23" s="46">
        <v>6</v>
      </c>
      <c r="F23" s="46"/>
      <c r="G23" s="50" cm="1">
        <f t="array" aca="1" ref="G23" ca="1">INDIRECT(ADDRESS(E23+3,D23+3,1))</f>
        <v>3</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7" customWidth="1"/>
    <col min="4" max="4" width="55.21875" style="177" customWidth="1"/>
    <col min="5" max="16384" width="8.88671875" style="8"/>
  </cols>
  <sheetData>
    <row r="1" spans="1:12" x14ac:dyDescent="0.3">
      <c r="A1" s="8" t="s">
        <v>551</v>
      </c>
      <c r="B1" s="6" t="s">
        <v>73</v>
      </c>
      <c r="C1" s="177" t="s">
        <v>552</v>
      </c>
      <c r="D1" s="177" t="s">
        <v>553</v>
      </c>
    </row>
    <row r="2" spans="1:12" x14ac:dyDescent="0.3">
      <c r="A2" s="183" t="s">
        <v>319</v>
      </c>
      <c r="B2" s="184">
        <v>1</v>
      </c>
      <c r="C2" s="182" t="s">
        <v>554</v>
      </c>
      <c r="D2" s="182" t="s">
        <v>555</v>
      </c>
    </row>
    <row r="3" spans="1:12" x14ac:dyDescent="0.3">
      <c r="A3" s="183" t="s">
        <v>319</v>
      </c>
      <c r="B3" s="184">
        <v>2</v>
      </c>
      <c r="C3" s="182" t="s">
        <v>556</v>
      </c>
      <c r="D3" s="182" t="s">
        <v>557</v>
      </c>
      <c r="E3" s="152"/>
      <c r="F3" s="152"/>
      <c r="G3" s="152"/>
      <c r="H3" s="152"/>
      <c r="I3" s="152"/>
      <c r="J3" s="152"/>
      <c r="K3" s="152"/>
      <c r="L3" s="152"/>
    </row>
    <row r="4" spans="1:12" x14ac:dyDescent="0.3">
      <c r="A4" s="183" t="s">
        <v>319</v>
      </c>
      <c r="B4" s="184">
        <v>3</v>
      </c>
      <c r="C4" s="182" t="s">
        <v>558</v>
      </c>
      <c r="D4" s="182" t="s">
        <v>559</v>
      </c>
      <c r="E4" s="152"/>
      <c r="F4" s="152"/>
      <c r="G4" s="152"/>
      <c r="H4" s="152"/>
      <c r="I4" s="152"/>
      <c r="J4" s="152"/>
      <c r="K4" s="152"/>
      <c r="L4" s="152"/>
    </row>
    <row r="5" spans="1:12" x14ac:dyDescent="0.3">
      <c r="A5" s="183" t="s">
        <v>548</v>
      </c>
      <c r="B5" s="184">
        <v>1</v>
      </c>
      <c r="C5" s="182" t="s">
        <v>560</v>
      </c>
      <c r="D5" s="182" t="s">
        <v>561</v>
      </c>
      <c r="E5" s="152"/>
      <c r="F5" s="152"/>
      <c r="G5" s="152"/>
      <c r="H5" s="152"/>
      <c r="I5" s="152"/>
      <c r="J5" s="152"/>
      <c r="K5" s="152"/>
      <c r="L5" s="152"/>
    </row>
    <row r="6" spans="1:12" x14ac:dyDescent="0.3">
      <c r="A6" s="183" t="s">
        <v>548</v>
      </c>
      <c r="B6" s="184">
        <v>2</v>
      </c>
      <c r="C6" s="182" t="s">
        <v>562</v>
      </c>
      <c r="D6" s="182" t="s">
        <v>563</v>
      </c>
      <c r="E6" s="79"/>
      <c r="F6" s="79"/>
      <c r="G6" s="79"/>
      <c r="H6" s="79"/>
      <c r="I6" s="79"/>
      <c r="J6" s="79"/>
      <c r="K6" s="79"/>
      <c r="L6" s="79"/>
    </row>
    <row r="7" spans="1:12" x14ac:dyDescent="0.3">
      <c r="A7" s="183" t="s">
        <v>548</v>
      </c>
      <c r="B7" s="184">
        <v>3</v>
      </c>
      <c r="C7" s="182" t="s">
        <v>564</v>
      </c>
      <c r="D7" s="182" t="s">
        <v>565</v>
      </c>
      <c r="E7" s="79"/>
      <c r="F7" s="79"/>
      <c r="G7" s="79"/>
      <c r="H7" s="79"/>
      <c r="I7" s="79"/>
      <c r="J7" s="79"/>
      <c r="K7" s="79"/>
      <c r="L7" s="79"/>
    </row>
    <row r="8" spans="1:12" x14ac:dyDescent="0.3">
      <c r="A8" s="183" t="s">
        <v>328</v>
      </c>
      <c r="B8" s="184">
        <v>1</v>
      </c>
      <c r="C8" s="182" t="s">
        <v>566</v>
      </c>
      <c r="D8" s="182" t="s">
        <v>567</v>
      </c>
      <c r="E8" s="79"/>
      <c r="F8" s="79"/>
      <c r="G8" s="79"/>
      <c r="H8" s="79"/>
      <c r="I8" s="79"/>
      <c r="J8" s="79"/>
      <c r="K8" s="79"/>
      <c r="L8" s="79"/>
    </row>
    <row r="9" spans="1:12" x14ac:dyDescent="0.3">
      <c r="A9" s="183" t="s">
        <v>328</v>
      </c>
      <c r="B9" s="184">
        <v>2</v>
      </c>
      <c r="C9" s="182" t="s">
        <v>568</v>
      </c>
      <c r="D9" s="182" t="s">
        <v>569</v>
      </c>
      <c r="E9" s="79"/>
      <c r="F9" s="79"/>
      <c r="G9" s="79"/>
      <c r="H9" s="79"/>
      <c r="I9" s="79"/>
      <c r="J9" s="79"/>
      <c r="K9" s="79"/>
      <c r="L9" s="79"/>
    </row>
    <row r="10" spans="1:12" x14ac:dyDescent="0.3">
      <c r="A10" s="183" t="s">
        <v>328</v>
      </c>
      <c r="B10" s="184">
        <v>3</v>
      </c>
      <c r="C10" s="182" t="s">
        <v>570</v>
      </c>
      <c r="D10" s="182" t="s">
        <v>571</v>
      </c>
      <c r="E10" s="79"/>
      <c r="F10" s="79"/>
      <c r="G10" s="79"/>
      <c r="H10" s="79"/>
      <c r="I10" s="79"/>
      <c r="J10" s="79"/>
      <c r="K10" s="79"/>
      <c r="L10" s="79"/>
    </row>
    <row r="11" spans="1:12" x14ac:dyDescent="0.3">
      <c r="A11" s="183" t="s">
        <v>572</v>
      </c>
      <c r="B11" s="184">
        <v>1</v>
      </c>
      <c r="C11" s="182" t="s">
        <v>573</v>
      </c>
      <c r="D11" s="182" t="s">
        <v>574</v>
      </c>
      <c r="E11" s="79"/>
      <c r="F11" s="79"/>
      <c r="G11" s="79"/>
      <c r="H11" s="79"/>
      <c r="I11" s="79"/>
      <c r="J11" s="79"/>
      <c r="K11" s="79"/>
      <c r="L11" s="79"/>
    </row>
    <row r="12" spans="1:12" x14ac:dyDescent="0.3">
      <c r="A12" s="183" t="s">
        <v>572</v>
      </c>
      <c r="B12" s="184">
        <v>2</v>
      </c>
      <c r="C12" s="182" t="s">
        <v>575</v>
      </c>
      <c r="D12" s="182" t="s">
        <v>576</v>
      </c>
    </row>
    <row r="13" spans="1:12" x14ac:dyDescent="0.3">
      <c r="A13" s="183" t="s">
        <v>572</v>
      </c>
      <c r="B13" s="184">
        <v>3</v>
      </c>
      <c r="C13" s="182" t="s">
        <v>577</v>
      </c>
      <c r="D13" s="182" t="s">
        <v>578</v>
      </c>
    </row>
    <row r="14" spans="1:12" x14ac:dyDescent="0.3">
      <c r="A14" s="183" t="s">
        <v>317</v>
      </c>
      <c r="B14" s="184">
        <v>1</v>
      </c>
      <c r="C14" s="182" t="s">
        <v>579</v>
      </c>
      <c r="D14" s="182" t="s">
        <v>580</v>
      </c>
    </row>
    <row r="15" spans="1:12" x14ac:dyDescent="0.3">
      <c r="A15" s="183" t="s">
        <v>317</v>
      </c>
      <c r="B15" s="184">
        <v>2</v>
      </c>
      <c r="C15" s="182" t="s">
        <v>581</v>
      </c>
      <c r="D15" s="182" t="s">
        <v>582</v>
      </c>
    </row>
    <row r="16" spans="1:12" x14ac:dyDescent="0.3">
      <c r="A16" s="183" t="s">
        <v>317</v>
      </c>
      <c r="B16" s="184">
        <v>3</v>
      </c>
      <c r="C16" s="182" t="s">
        <v>583</v>
      </c>
      <c r="D16" s="182" t="s">
        <v>584</v>
      </c>
    </row>
    <row r="17" spans="1:4" x14ac:dyDescent="0.3">
      <c r="A17" s="183" t="s">
        <v>327</v>
      </c>
      <c r="B17" s="184">
        <v>1</v>
      </c>
      <c r="C17" s="182" t="s">
        <v>585</v>
      </c>
      <c r="D17" s="182" t="s">
        <v>586</v>
      </c>
    </row>
    <row r="18" spans="1:4" x14ac:dyDescent="0.3">
      <c r="A18" s="183" t="s">
        <v>327</v>
      </c>
      <c r="B18" s="184">
        <v>2</v>
      </c>
      <c r="C18" s="182" t="s">
        <v>587</v>
      </c>
      <c r="D18" s="182" t="s">
        <v>588</v>
      </c>
    </row>
    <row r="19" spans="1:4" x14ac:dyDescent="0.3">
      <c r="A19" s="183" t="s">
        <v>327</v>
      </c>
      <c r="B19" s="184">
        <v>3</v>
      </c>
      <c r="C19" s="182" t="s">
        <v>589</v>
      </c>
      <c r="D19" s="182" t="s">
        <v>590</v>
      </c>
    </row>
    <row r="20" spans="1:4" x14ac:dyDescent="0.3">
      <c r="A20" s="183" t="s">
        <v>130</v>
      </c>
      <c r="B20" s="184">
        <v>1</v>
      </c>
      <c r="C20" s="182" t="s">
        <v>591</v>
      </c>
      <c r="D20" s="182" t="s">
        <v>592</v>
      </c>
    </row>
    <row r="21" spans="1:4" x14ac:dyDescent="0.3">
      <c r="A21" s="183" t="s">
        <v>130</v>
      </c>
      <c r="B21" s="184">
        <v>2</v>
      </c>
      <c r="C21" s="182" t="s">
        <v>593</v>
      </c>
      <c r="D21" s="182" t="s">
        <v>594</v>
      </c>
    </row>
    <row r="22" spans="1:4" x14ac:dyDescent="0.3">
      <c r="A22" s="183" t="s">
        <v>130</v>
      </c>
      <c r="B22" s="184">
        <v>3</v>
      </c>
      <c r="C22" s="182" t="s">
        <v>595</v>
      </c>
      <c r="D22" s="182" t="s">
        <v>596</v>
      </c>
    </row>
    <row r="23" spans="1:4" x14ac:dyDescent="0.3">
      <c r="A23" s="183" t="s">
        <v>316</v>
      </c>
      <c r="B23" s="184">
        <v>1</v>
      </c>
      <c r="C23" s="182" t="s">
        <v>597</v>
      </c>
      <c r="D23" s="182" t="s">
        <v>598</v>
      </c>
    </row>
    <row r="24" spans="1:4" x14ac:dyDescent="0.3">
      <c r="A24" s="183" t="s">
        <v>316</v>
      </c>
      <c r="B24" s="184">
        <v>2</v>
      </c>
      <c r="C24" s="182" t="s">
        <v>599</v>
      </c>
      <c r="D24" s="182" t="s">
        <v>600</v>
      </c>
    </row>
    <row r="25" spans="1:4" x14ac:dyDescent="0.3">
      <c r="A25" s="183" t="s">
        <v>316</v>
      </c>
      <c r="B25" s="184">
        <v>3</v>
      </c>
      <c r="C25" s="182" t="s">
        <v>601</v>
      </c>
      <c r="D25" s="182" t="s">
        <v>602</v>
      </c>
    </row>
    <row r="26" spans="1:4" x14ac:dyDescent="0.3">
      <c r="A26" s="183" t="s">
        <v>129</v>
      </c>
      <c r="B26" s="184">
        <v>1</v>
      </c>
      <c r="C26" s="182" t="s">
        <v>603</v>
      </c>
      <c r="D26" s="182" t="s">
        <v>604</v>
      </c>
    </row>
    <row r="27" spans="1:4" x14ac:dyDescent="0.3">
      <c r="A27" s="183" t="s">
        <v>129</v>
      </c>
      <c r="B27" s="184">
        <v>2</v>
      </c>
      <c r="C27" s="182" t="s">
        <v>605</v>
      </c>
      <c r="D27" s="182" t="s">
        <v>606</v>
      </c>
    </row>
    <row r="28" spans="1:4" x14ac:dyDescent="0.3">
      <c r="A28" s="183" t="s">
        <v>129</v>
      </c>
      <c r="B28" s="184">
        <v>3</v>
      </c>
      <c r="C28" s="182" t="s">
        <v>607</v>
      </c>
      <c r="D28" s="182" t="s">
        <v>608</v>
      </c>
    </row>
    <row r="29" spans="1:4" x14ac:dyDescent="0.3">
      <c r="A29" s="183" t="s">
        <v>322</v>
      </c>
      <c r="B29" s="184">
        <v>1</v>
      </c>
      <c r="C29" s="182" t="s">
        <v>609</v>
      </c>
      <c r="D29" s="182" t="s">
        <v>610</v>
      </c>
    </row>
    <row r="30" spans="1:4" x14ac:dyDescent="0.3">
      <c r="A30" s="183" t="s">
        <v>322</v>
      </c>
      <c r="B30" s="184">
        <v>2</v>
      </c>
      <c r="C30" s="182" t="s">
        <v>611</v>
      </c>
      <c r="D30" s="182" t="s">
        <v>612</v>
      </c>
    </row>
    <row r="31" spans="1:4" x14ac:dyDescent="0.3">
      <c r="A31" s="183" t="s">
        <v>322</v>
      </c>
      <c r="B31" s="184">
        <v>3</v>
      </c>
      <c r="C31" s="182" t="s">
        <v>613</v>
      </c>
      <c r="D31" s="182" t="s">
        <v>614</v>
      </c>
    </row>
    <row r="32" spans="1:4" x14ac:dyDescent="0.3">
      <c r="A32" s="183" t="s">
        <v>321</v>
      </c>
      <c r="B32" s="184">
        <v>1</v>
      </c>
      <c r="C32" s="182" t="s">
        <v>615</v>
      </c>
      <c r="D32" s="182" t="s">
        <v>616</v>
      </c>
    </row>
    <row r="33" spans="1:4" x14ac:dyDescent="0.3">
      <c r="A33" s="183" t="s">
        <v>321</v>
      </c>
      <c r="B33" s="184">
        <v>2</v>
      </c>
      <c r="C33" s="182" t="s">
        <v>617</v>
      </c>
      <c r="D33" s="182" t="s">
        <v>618</v>
      </c>
    </row>
    <row r="34" spans="1:4" x14ac:dyDescent="0.3">
      <c r="A34" s="183" t="s">
        <v>321</v>
      </c>
      <c r="B34" s="184">
        <v>3</v>
      </c>
      <c r="C34" s="182" t="s">
        <v>619</v>
      </c>
      <c r="D34" s="182" t="s">
        <v>620</v>
      </c>
    </row>
    <row r="35" spans="1:4" x14ac:dyDescent="0.3">
      <c r="A35" s="183" t="s">
        <v>325</v>
      </c>
      <c r="B35" s="184">
        <v>1</v>
      </c>
      <c r="C35" s="182" t="s">
        <v>621</v>
      </c>
      <c r="D35" s="182" t="s">
        <v>622</v>
      </c>
    </row>
    <row r="36" spans="1:4" x14ac:dyDescent="0.3">
      <c r="A36" s="183" t="s">
        <v>325</v>
      </c>
      <c r="B36" s="184">
        <v>2</v>
      </c>
      <c r="C36" s="182" t="s">
        <v>623</v>
      </c>
      <c r="D36" s="182" t="s">
        <v>624</v>
      </c>
    </row>
    <row r="37" spans="1:4" x14ac:dyDescent="0.3">
      <c r="A37" s="183" t="s">
        <v>325</v>
      </c>
      <c r="B37" s="184">
        <v>3</v>
      </c>
      <c r="C37" s="182" t="s">
        <v>625</v>
      </c>
      <c r="D37" s="182" t="s">
        <v>626</v>
      </c>
    </row>
    <row r="38" spans="1:4" x14ac:dyDescent="0.3">
      <c r="A38" s="183" t="s">
        <v>627</v>
      </c>
      <c r="B38" s="184">
        <v>1</v>
      </c>
      <c r="C38" s="182" t="s">
        <v>628</v>
      </c>
      <c r="D38" s="182" t="s">
        <v>629</v>
      </c>
    </row>
    <row r="39" spans="1:4" x14ac:dyDescent="0.3">
      <c r="A39" s="183" t="s">
        <v>627</v>
      </c>
      <c r="B39" s="184">
        <v>2</v>
      </c>
      <c r="C39" s="182" t="s">
        <v>630</v>
      </c>
      <c r="D39" s="182" t="s">
        <v>631</v>
      </c>
    </row>
    <row r="40" spans="1:4" x14ac:dyDescent="0.3">
      <c r="A40" s="183" t="s">
        <v>627</v>
      </c>
      <c r="B40" s="184">
        <v>3</v>
      </c>
      <c r="C40" s="182" t="s">
        <v>632</v>
      </c>
      <c r="D40" s="182" t="s">
        <v>633</v>
      </c>
    </row>
    <row r="41" spans="1:4" x14ac:dyDescent="0.3">
      <c r="A41" s="183" t="s">
        <v>330</v>
      </c>
      <c r="B41" s="184">
        <v>1</v>
      </c>
      <c r="C41" s="182" t="s">
        <v>634</v>
      </c>
      <c r="D41" s="182" t="s">
        <v>635</v>
      </c>
    </row>
    <row r="42" spans="1:4" x14ac:dyDescent="0.3">
      <c r="A42" s="183" t="s">
        <v>330</v>
      </c>
      <c r="B42" s="184">
        <v>2</v>
      </c>
      <c r="C42" s="182" t="s">
        <v>636</v>
      </c>
      <c r="D42" s="182" t="s">
        <v>637</v>
      </c>
    </row>
    <row r="43" spans="1:4" x14ac:dyDescent="0.3">
      <c r="A43" s="183" t="s">
        <v>330</v>
      </c>
      <c r="B43" s="184">
        <v>3</v>
      </c>
      <c r="C43" s="182" t="s">
        <v>638</v>
      </c>
      <c r="D43" s="182" t="s">
        <v>639</v>
      </c>
    </row>
    <row r="44" spans="1:4" x14ac:dyDescent="0.3">
      <c r="A44" s="183" t="s">
        <v>324</v>
      </c>
      <c r="B44" s="184">
        <v>1</v>
      </c>
      <c r="C44" s="182" t="s">
        <v>640</v>
      </c>
      <c r="D44" s="182" t="s">
        <v>641</v>
      </c>
    </row>
    <row r="45" spans="1:4" x14ac:dyDescent="0.3">
      <c r="A45" s="183" t="s">
        <v>324</v>
      </c>
      <c r="B45" s="184">
        <v>2</v>
      </c>
      <c r="C45" s="182" t="s">
        <v>642</v>
      </c>
      <c r="D45" s="182" t="s">
        <v>643</v>
      </c>
    </row>
    <row r="46" spans="1:4" x14ac:dyDescent="0.3">
      <c r="A46" s="183" t="s">
        <v>324</v>
      </c>
      <c r="B46" s="184">
        <v>3</v>
      </c>
      <c r="C46" s="182" t="s">
        <v>644</v>
      </c>
      <c r="D46" s="182" t="s">
        <v>645</v>
      </c>
    </row>
    <row r="47" spans="1:4" x14ac:dyDescent="0.3">
      <c r="A47" s="183" t="s">
        <v>326</v>
      </c>
      <c r="B47" s="184">
        <v>1</v>
      </c>
      <c r="C47" s="182" t="s">
        <v>646</v>
      </c>
      <c r="D47" s="182" t="s">
        <v>647</v>
      </c>
    </row>
    <row r="48" spans="1:4" x14ac:dyDescent="0.3">
      <c r="A48" s="183" t="s">
        <v>326</v>
      </c>
      <c r="B48" s="184">
        <v>2</v>
      </c>
      <c r="C48" s="182" t="s">
        <v>648</v>
      </c>
      <c r="D48" s="182" t="s">
        <v>649</v>
      </c>
    </row>
    <row r="49" spans="1:5" x14ac:dyDescent="0.3">
      <c r="A49" s="183" t="s">
        <v>326</v>
      </c>
      <c r="B49" s="184">
        <v>3</v>
      </c>
      <c r="C49" s="182" t="s">
        <v>650</v>
      </c>
      <c r="D49" s="182" t="s">
        <v>651</v>
      </c>
    </row>
    <row r="50" spans="1:5" x14ac:dyDescent="0.3">
      <c r="A50" s="178" t="s">
        <v>551</v>
      </c>
      <c r="B50" s="179" t="s">
        <v>73</v>
      </c>
      <c r="C50" s="178" t="s">
        <v>652</v>
      </c>
      <c r="D50" s="178" t="s">
        <v>552</v>
      </c>
      <c r="E50"/>
    </row>
    <row r="51" spans="1:5" x14ac:dyDescent="0.3">
      <c r="A51" s="180" t="s">
        <v>321</v>
      </c>
      <c r="B51" s="181">
        <v>1</v>
      </c>
      <c r="C51" s="182" t="s">
        <v>665</v>
      </c>
      <c r="D51" s="180" t="s">
        <v>653</v>
      </c>
      <c r="E51"/>
    </row>
    <row r="52" spans="1:5" x14ac:dyDescent="0.3">
      <c r="A52" s="180" t="s">
        <v>321</v>
      </c>
      <c r="B52" s="181">
        <v>1</v>
      </c>
      <c r="C52" s="182" t="s">
        <v>666</v>
      </c>
      <c r="D52" s="180" t="s">
        <v>654</v>
      </c>
      <c r="E52"/>
    </row>
    <row r="53" spans="1:5" x14ac:dyDescent="0.3">
      <c r="A53" s="180" t="s">
        <v>321</v>
      </c>
      <c r="B53" s="181">
        <v>2</v>
      </c>
      <c r="C53" s="182" t="s">
        <v>667</v>
      </c>
      <c r="D53" s="180" t="s">
        <v>655</v>
      </c>
      <c r="E53"/>
    </row>
    <row r="54" spans="1:5" x14ac:dyDescent="0.3">
      <c r="A54" s="180" t="s">
        <v>321</v>
      </c>
      <c r="B54" s="181">
        <v>2</v>
      </c>
      <c r="C54" s="182" t="s">
        <v>668</v>
      </c>
      <c r="D54" s="180" t="s">
        <v>656</v>
      </c>
      <c r="E54"/>
    </row>
    <row r="55" spans="1:5" x14ac:dyDescent="0.3">
      <c r="A55" s="180" t="s">
        <v>321</v>
      </c>
      <c r="B55" s="181">
        <v>3</v>
      </c>
      <c r="C55" s="182" t="s">
        <v>669</v>
      </c>
      <c r="D55" s="180" t="s">
        <v>657</v>
      </c>
      <c r="E55"/>
    </row>
    <row r="56" spans="1:5" x14ac:dyDescent="0.3">
      <c r="A56" s="180" t="s">
        <v>321</v>
      </c>
      <c r="B56" s="181">
        <v>3</v>
      </c>
      <c r="C56" s="182" t="s">
        <v>670</v>
      </c>
      <c r="D56" s="180" t="s">
        <v>658</v>
      </c>
      <c r="E56"/>
    </row>
    <row r="57" spans="1:5" x14ac:dyDescent="0.3">
      <c r="A57" s="180" t="s">
        <v>322</v>
      </c>
      <c r="B57" s="181">
        <v>1</v>
      </c>
      <c r="C57" s="182" t="s">
        <v>671</v>
      </c>
      <c r="D57" s="180" t="s">
        <v>659</v>
      </c>
      <c r="E57"/>
    </row>
    <row r="58" spans="1:5" x14ac:dyDescent="0.3">
      <c r="A58" s="180" t="s">
        <v>322</v>
      </c>
      <c r="B58" s="181">
        <v>1</v>
      </c>
      <c r="C58" s="182" t="s">
        <v>672</v>
      </c>
      <c r="D58" s="180" t="s">
        <v>660</v>
      </c>
      <c r="E58"/>
    </row>
    <row r="59" spans="1:5" x14ac:dyDescent="0.3">
      <c r="A59" s="180" t="s">
        <v>322</v>
      </c>
      <c r="B59" s="181">
        <v>2</v>
      </c>
      <c r="C59" s="182" t="s">
        <v>673</v>
      </c>
      <c r="D59" s="180" t="s">
        <v>661</v>
      </c>
      <c r="E59"/>
    </row>
    <row r="60" spans="1:5" x14ac:dyDescent="0.3">
      <c r="A60" s="180" t="s">
        <v>322</v>
      </c>
      <c r="B60" s="181">
        <v>2</v>
      </c>
      <c r="C60" s="182" t="s">
        <v>674</v>
      </c>
      <c r="D60" s="180" t="s">
        <v>662</v>
      </c>
      <c r="E60"/>
    </row>
    <row r="61" spans="1:5" x14ac:dyDescent="0.3">
      <c r="A61" s="180" t="s">
        <v>322</v>
      </c>
      <c r="B61" s="181">
        <v>3</v>
      </c>
      <c r="C61" s="182" t="s">
        <v>675</v>
      </c>
      <c r="D61" s="180" t="s">
        <v>663</v>
      </c>
      <c r="E61"/>
    </row>
    <row r="62" spans="1:5" x14ac:dyDescent="0.3">
      <c r="A62" s="180" t="s">
        <v>322</v>
      </c>
      <c r="B62" s="181">
        <v>3</v>
      </c>
      <c r="C62" s="182" t="s">
        <v>676</v>
      </c>
      <c r="D62" s="180" t="s">
        <v>664</v>
      </c>
      <c r="E62"/>
    </row>
  </sheetData>
  <pageMargins left="0.25" right="0.25" top="0.75" bottom="0.75" header="0.3" footer="0.3"/>
  <pageSetup paperSize="9" orientation="landscape"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5" t="s">
        <v>55</v>
      </c>
      <c r="B1" s="185" t="s">
        <v>677</v>
      </c>
      <c r="C1" s="185" t="s">
        <v>678</v>
      </c>
      <c r="D1" s="185" t="s">
        <v>679</v>
      </c>
      <c r="E1" s="185" t="s">
        <v>978</v>
      </c>
    </row>
    <row r="2" spans="1:5" x14ac:dyDescent="0.3">
      <c r="A2" t="s">
        <v>95</v>
      </c>
      <c r="B2" s="5">
        <v>1</v>
      </c>
      <c r="C2" t="s">
        <v>680</v>
      </c>
      <c r="D2" t="s">
        <v>681</v>
      </c>
      <c r="E2" t="s">
        <v>979</v>
      </c>
    </row>
    <row r="3" spans="1:5" x14ac:dyDescent="0.3">
      <c r="A3" t="s">
        <v>95</v>
      </c>
      <c r="B3" s="5">
        <v>2</v>
      </c>
      <c r="C3" t="s">
        <v>682</v>
      </c>
      <c r="D3" t="s">
        <v>683</v>
      </c>
      <c r="E3" t="s">
        <v>979</v>
      </c>
    </row>
    <row r="4" spans="1:5" x14ac:dyDescent="0.3">
      <c r="A4" t="s">
        <v>95</v>
      </c>
      <c r="B4" s="5">
        <v>3</v>
      </c>
      <c r="C4" t="s">
        <v>684</v>
      </c>
      <c r="D4" t="s">
        <v>685</v>
      </c>
      <c r="E4" t="s">
        <v>979</v>
      </c>
    </row>
    <row r="5" spans="1:5" x14ac:dyDescent="0.3">
      <c r="A5" t="s">
        <v>95</v>
      </c>
      <c r="B5" s="5">
        <v>4</v>
      </c>
      <c r="C5" t="s">
        <v>686</v>
      </c>
      <c r="D5" t="s">
        <v>687</v>
      </c>
      <c r="E5" t="s">
        <v>979</v>
      </c>
    </row>
    <row r="6" spans="1:5" x14ac:dyDescent="0.3">
      <c r="A6" t="s">
        <v>95</v>
      </c>
      <c r="B6" s="5">
        <v>5</v>
      </c>
      <c r="C6" t="s">
        <v>688</v>
      </c>
      <c r="D6" t="s">
        <v>689</v>
      </c>
      <c r="E6" t="s">
        <v>979</v>
      </c>
    </row>
    <row r="7" spans="1:5" x14ac:dyDescent="0.3">
      <c r="A7" t="s">
        <v>97</v>
      </c>
      <c r="B7" s="5">
        <v>1</v>
      </c>
      <c r="C7" t="s">
        <v>690</v>
      </c>
      <c r="D7" t="s">
        <v>691</v>
      </c>
      <c r="E7" t="s">
        <v>980</v>
      </c>
    </row>
    <row r="8" spans="1:5" x14ac:dyDescent="0.3">
      <c r="A8" t="s">
        <v>97</v>
      </c>
      <c r="B8" s="5">
        <v>2</v>
      </c>
      <c r="C8" t="s">
        <v>692</v>
      </c>
      <c r="D8" t="s">
        <v>693</v>
      </c>
      <c r="E8" t="s">
        <v>980</v>
      </c>
    </row>
    <row r="9" spans="1:5" x14ac:dyDescent="0.3">
      <c r="A9" t="s">
        <v>97</v>
      </c>
      <c r="B9" s="5">
        <v>3</v>
      </c>
      <c r="C9" t="s">
        <v>694</v>
      </c>
      <c r="D9" t="s">
        <v>695</v>
      </c>
      <c r="E9" t="s">
        <v>980</v>
      </c>
    </row>
    <row r="10" spans="1:5" x14ac:dyDescent="0.3">
      <c r="A10" t="s">
        <v>97</v>
      </c>
      <c r="B10" s="5">
        <v>4</v>
      </c>
      <c r="C10" t="s">
        <v>696</v>
      </c>
      <c r="D10" t="s">
        <v>697</v>
      </c>
      <c r="E10" t="s">
        <v>980</v>
      </c>
    </row>
    <row r="11" spans="1:5" x14ac:dyDescent="0.3">
      <c r="A11" t="s">
        <v>97</v>
      </c>
      <c r="B11" s="5">
        <v>5</v>
      </c>
      <c r="C11" t="s">
        <v>698</v>
      </c>
      <c r="D11" t="s">
        <v>699</v>
      </c>
      <c r="E11" t="s">
        <v>980</v>
      </c>
    </row>
    <row r="12" spans="1:5" x14ac:dyDescent="0.3">
      <c r="A12" t="s">
        <v>99</v>
      </c>
      <c r="B12" s="5">
        <v>1</v>
      </c>
      <c r="C12" t="s">
        <v>700</v>
      </c>
      <c r="D12" t="s">
        <v>701</v>
      </c>
      <c r="E12" t="s">
        <v>981</v>
      </c>
    </row>
    <row r="13" spans="1:5" x14ac:dyDescent="0.3">
      <c r="A13" t="s">
        <v>99</v>
      </c>
      <c r="B13" s="5">
        <v>2</v>
      </c>
      <c r="C13" t="s">
        <v>702</v>
      </c>
      <c r="D13" t="s">
        <v>703</v>
      </c>
      <c r="E13" t="s">
        <v>981</v>
      </c>
    </row>
    <row r="14" spans="1:5" x14ac:dyDescent="0.3">
      <c r="A14" t="s">
        <v>99</v>
      </c>
      <c r="B14" s="5">
        <v>3</v>
      </c>
      <c r="C14" t="s">
        <v>704</v>
      </c>
      <c r="D14" t="s">
        <v>705</v>
      </c>
      <c r="E14" t="s">
        <v>981</v>
      </c>
    </row>
    <row r="15" spans="1:5" x14ac:dyDescent="0.3">
      <c r="A15" t="s">
        <v>99</v>
      </c>
      <c r="B15" s="5">
        <v>4</v>
      </c>
      <c r="C15" t="s">
        <v>706</v>
      </c>
      <c r="D15" t="s">
        <v>707</v>
      </c>
      <c r="E15" t="s">
        <v>981</v>
      </c>
    </row>
    <row r="16" spans="1:5" x14ac:dyDescent="0.3">
      <c r="A16" t="s">
        <v>99</v>
      </c>
      <c r="B16" s="5">
        <v>5</v>
      </c>
      <c r="C16" t="s">
        <v>708</v>
      </c>
      <c r="D16" t="s">
        <v>709</v>
      </c>
      <c r="E16" t="s">
        <v>981</v>
      </c>
    </row>
    <row r="17" spans="1:5" x14ac:dyDescent="0.3">
      <c r="A17" t="s">
        <v>101</v>
      </c>
      <c r="B17" s="5">
        <v>1</v>
      </c>
      <c r="C17" t="s">
        <v>710</v>
      </c>
      <c r="D17" t="s">
        <v>711</v>
      </c>
      <c r="E17" t="s">
        <v>982</v>
      </c>
    </row>
    <row r="18" spans="1:5" x14ac:dyDescent="0.3">
      <c r="A18" t="s">
        <v>101</v>
      </c>
      <c r="B18" s="5">
        <v>2</v>
      </c>
      <c r="C18" t="s">
        <v>712</v>
      </c>
      <c r="D18" t="s">
        <v>713</v>
      </c>
      <c r="E18" t="s">
        <v>982</v>
      </c>
    </row>
    <row r="19" spans="1:5" x14ac:dyDescent="0.3">
      <c r="A19" t="s">
        <v>101</v>
      </c>
      <c r="B19" s="5">
        <v>3</v>
      </c>
      <c r="C19" t="s">
        <v>714</v>
      </c>
      <c r="D19" t="s">
        <v>715</v>
      </c>
      <c r="E19" t="s">
        <v>982</v>
      </c>
    </row>
    <row r="20" spans="1:5" x14ac:dyDescent="0.3">
      <c r="A20" t="s">
        <v>101</v>
      </c>
      <c r="B20" s="5">
        <v>4</v>
      </c>
      <c r="C20" t="s">
        <v>716</v>
      </c>
      <c r="D20" t="s">
        <v>717</v>
      </c>
      <c r="E20" t="s">
        <v>982</v>
      </c>
    </row>
    <row r="21" spans="1:5" x14ac:dyDescent="0.3">
      <c r="A21" t="s">
        <v>101</v>
      </c>
      <c r="B21" s="5">
        <v>5</v>
      </c>
      <c r="C21" t="s">
        <v>718</v>
      </c>
      <c r="D21" t="s">
        <v>719</v>
      </c>
      <c r="E21" t="s">
        <v>982</v>
      </c>
    </row>
    <row r="22" spans="1:5" x14ac:dyDescent="0.3">
      <c r="A22" t="s">
        <v>103</v>
      </c>
      <c r="B22" s="5">
        <v>1</v>
      </c>
      <c r="C22" t="s">
        <v>720</v>
      </c>
      <c r="D22" t="s">
        <v>721</v>
      </c>
      <c r="E22" t="s">
        <v>983</v>
      </c>
    </row>
    <row r="23" spans="1:5" x14ac:dyDescent="0.3">
      <c r="A23" t="s">
        <v>103</v>
      </c>
      <c r="B23" s="5">
        <v>2</v>
      </c>
      <c r="C23" t="s">
        <v>722</v>
      </c>
      <c r="D23" t="s">
        <v>723</v>
      </c>
      <c r="E23" t="s">
        <v>983</v>
      </c>
    </row>
    <row r="24" spans="1:5" x14ac:dyDescent="0.3">
      <c r="A24" t="s">
        <v>103</v>
      </c>
      <c r="B24" s="5">
        <v>3</v>
      </c>
      <c r="C24" t="s">
        <v>724</v>
      </c>
      <c r="D24" t="s">
        <v>725</v>
      </c>
      <c r="E24" t="s">
        <v>983</v>
      </c>
    </row>
    <row r="25" spans="1:5" x14ac:dyDescent="0.3">
      <c r="A25" t="s">
        <v>103</v>
      </c>
      <c r="B25" s="5">
        <v>4</v>
      </c>
      <c r="C25" t="s">
        <v>726</v>
      </c>
      <c r="D25" t="s">
        <v>727</v>
      </c>
      <c r="E25" t="s">
        <v>983</v>
      </c>
    </row>
    <row r="26" spans="1:5" x14ac:dyDescent="0.3">
      <c r="A26" t="s">
        <v>103</v>
      </c>
      <c r="B26" s="5">
        <v>5</v>
      </c>
      <c r="C26" t="s">
        <v>728</v>
      </c>
      <c r="D26" t="s">
        <v>729</v>
      </c>
      <c r="E26" t="s">
        <v>983</v>
      </c>
    </row>
    <row r="27" spans="1:5" x14ac:dyDescent="0.3">
      <c r="A27" t="s">
        <v>98</v>
      </c>
      <c r="B27" s="5">
        <v>1</v>
      </c>
      <c r="C27" t="s">
        <v>730</v>
      </c>
      <c r="D27" t="s">
        <v>731</v>
      </c>
      <c r="E27" t="s">
        <v>984</v>
      </c>
    </row>
    <row r="28" spans="1:5" x14ac:dyDescent="0.3">
      <c r="A28" t="s">
        <v>98</v>
      </c>
      <c r="B28" s="5">
        <v>2</v>
      </c>
      <c r="C28" t="s">
        <v>732</v>
      </c>
      <c r="D28" t="s">
        <v>733</v>
      </c>
      <c r="E28" t="s">
        <v>984</v>
      </c>
    </row>
    <row r="29" spans="1:5" x14ac:dyDescent="0.3">
      <c r="A29" t="s">
        <v>98</v>
      </c>
      <c r="B29" s="5">
        <v>3</v>
      </c>
      <c r="C29" t="s">
        <v>734</v>
      </c>
      <c r="D29" t="s">
        <v>735</v>
      </c>
      <c r="E29" t="s">
        <v>984</v>
      </c>
    </row>
    <row r="30" spans="1:5" x14ac:dyDescent="0.3">
      <c r="A30" t="s">
        <v>98</v>
      </c>
      <c r="B30" s="5">
        <v>4</v>
      </c>
      <c r="C30" t="s">
        <v>736</v>
      </c>
      <c r="D30" t="s">
        <v>737</v>
      </c>
      <c r="E30" t="s">
        <v>984</v>
      </c>
    </row>
    <row r="31" spans="1:5" x14ac:dyDescent="0.3">
      <c r="A31" t="s">
        <v>98</v>
      </c>
      <c r="B31" s="5">
        <v>5</v>
      </c>
      <c r="C31" t="s">
        <v>738</v>
      </c>
      <c r="D31" t="s">
        <v>739</v>
      </c>
      <c r="E31" t="s">
        <v>984</v>
      </c>
    </row>
    <row r="32" spans="1:5" x14ac:dyDescent="0.3">
      <c r="A32" t="s">
        <v>100</v>
      </c>
      <c r="B32" s="5">
        <v>1</v>
      </c>
      <c r="C32" t="s">
        <v>740</v>
      </c>
      <c r="D32" t="s">
        <v>741</v>
      </c>
      <c r="E32" t="s">
        <v>985</v>
      </c>
    </row>
    <row r="33" spans="1:5" x14ac:dyDescent="0.3">
      <c r="A33" t="s">
        <v>100</v>
      </c>
      <c r="B33" s="5">
        <v>2</v>
      </c>
      <c r="C33" t="s">
        <v>742</v>
      </c>
      <c r="D33" t="s">
        <v>743</v>
      </c>
      <c r="E33" t="s">
        <v>985</v>
      </c>
    </row>
    <row r="34" spans="1:5" x14ac:dyDescent="0.3">
      <c r="A34" t="s">
        <v>100</v>
      </c>
      <c r="B34" s="5">
        <v>3</v>
      </c>
      <c r="C34" t="s">
        <v>744</v>
      </c>
      <c r="D34" t="s">
        <v>745</v>
      </c>
      <c r="E34" t="s">
        <v>985</v>
      </c>
    </row>
    <row r="35" spans="1:5" x14ac:dyDescent="0.3">
      <c r="A35" t="s">
        <v>100</v>
      </c>
      <c r="B35" s="5">
        <v>4</v>
      </c>
      <c r="C35" t="s">
        <v>746</v>
      </c>
      <c r="D35" t="s">
        <v>747</v>
      </c>
      <c r="E35" t="s">
        <v>985</v>
      </c>
    </row>
    <row r="36" spans="1:5" x14ac:dyDescent="0.3">
      <c r="A36" t="s">
        <v>100</v>
      </c>
      <c r="B36" s="5">
        <v>5</v>
      </c>
      <c r="C36" t="s">
        <v>748</v>
      </c>
      <c r="D36" t="s">
        <v>749</v>
      </c>
      <c r="E36" t="s">
        <v>985</v>
      </c>
    </row>
    <row r="37" spans="1:5" x14ac:dyDescent="0.3">
      <c r="A37" t="s">
        <v>102</v>
      </c>
      <c r="B37" s="5">
        <v>1</v>
      </c>
      <c r="C37" t="s">
        <v>750</v>
      </c>
      <c r="D37" t="s">
        <v>751</v>
      </c>
      <c r="E37" t="s">
        <v>986</v>
      </c>
    </row>
    <row r="38" spans="1:5" x14ac:dyDescent="0.3">
      <c r="A38" t="s">
        <v>102</v>
      </c>
      <c r="B38" s="5">
        <v>2</v>
      </c>
      <c r="C38" t="s">
        <v>752</v>
      </c>
      <c r="D38" t="s">
        <v>753</v>
      </c>
      <c r="E38" t="s">
        <v>986</v>
      </c>
    </row>
    <row r="39" spans="1:5" x14ac:dyDescent="0.3">
      <c r="A39" t="s">
        <v>102</v>
      </c>
      <c r="B39" s="5">
        <v>3</v>
      </c>
      <c r="C39" t="s">
        <v>754</v>
      </c>
      <c r="D39" t="s">
        <v>755</v>
      </c>
      <c r="E39" t="s">
        <v>986</v>
      </c>
    </row>
    <row r="40" spans="1:5" x14ac:dyDescent="0.3">
      <c r="A40" t="s">
        <v>102</v>
      </c>
      <c r="B40" s="5">
        <v>4</v>
      </c>
      <c r="C40" t="s">
        <v>756</v>
      </c>
      <c r="D40" t="s">
        <v>757</v>
      </c>
      <c r="E40" t="s">
        <v>986</v>
      </c>
    </row>
    <row r="41" spans="1:5" x14ac:dyDescent="0.3">
      <c r="A41" t="s">
        <v>102</v>
      </c>
      <c r="B41" s="5">
        <v>5</v>
      </c>
      <c r="C41" t="s">
        <v>758</v>
      </c>
      <c r="D41" t="s">
        <v>759</v>
      </c>
      <c r="E41" t="s">
        <v>986</v>
      </c>
    </row>
    <row r="42" spans="1:5" x14ac:dyDescent="0.3">
      <c r="A42" t="s">
        <v>96</v>
      </c>
      <c r="B42" s="5">
        <v>1</v>
      </c>
      <c r="C42" t="s">
        <v>760</v>
      </c>
      <c r="D42" t="s">
        <v>761</v>
      </c>
      <c r="E42" t="s">
        <v>987</v>
      </c>
    </row>
    <row r="43" spans="1:5" x14ac:dyDescent="0.3">
      <c r="A43" t="s">
        <v>96</v>
      </c>
      <c r="B43" s="5">
        <v>2</v>
      </c>
      <c r="C43" t="s">
        <v>762</v>
      </c>
      <c r="D43" t="s">
        <v>763</v>
      </c>
      <c r="E43" t="s">
        <v>987</v>
      </c>
    </row>
    <row r="44" spans="1:5" x14ac:dyDescent="0.3">
      <c r="A44" t="s">
        <v>96</v>
      </c>
      <c r="B44" s="5">
        <v>3</v>
      </c>
      <c r="C44" t="s">
        <v>764</v>
      </c>
      <c r="D44" t="s">
        <v>765</v>
      </c>
      <c r="E44" t="s">
        <v>987</v>
      </c>
    </row>
    <row r="45" spans="1:5" x14ac:dyDescent="0.3">
      <c r="A45" t="s">
        <v>96</v>
      </c>
      <c r="B45" s="5">
        <v>4</v>
      </c>
      <c r="C45" t="s">
        <v>766</v>
      </c>
      <c r="D45" t="s">
        <v>767</v>
      </c>
      <c r="E45" t="s">
        <v>987</v>
      </c>
    </row>
    <row r="46" spans="1:5" x14ac:dyDescent="0.3">
      <c r="A46" t="s">
        <v>96</v>
      </c>
      <c r="B46" s="5">
        <v>5</v>
      </c>
      <c r="C46" t="s">
        <v>768</v>
      </c>
      <c r="D46" t="s">
        <v>769</v>
      </c>
      <c r="E46" t="s">
        <v>987</v>
      </c>
    </row>
    <row r="47" spans="1:5" x14ac:dyDescent="0.3">
      <c r="A47" t="s">
        <v>5</v>
      </c>
      <c r="B47" s="5">
        <v>1</v>
      </c>
      <c r="C47" t="s">
        <v>770</v>
      </c>
      <c r="D47" t="s">
        <v>771</v>
      </c>
      <c r="E47" t="s">
        <v>988</v>
      </c>
    </row>
    <row r="48" spans="1:5" x14ac:dyDescent="0.3">
      <c r="A48" t="s">
        <v>5</v>
      </c>
      <c r="B48" s="5">
        <v>2</v>
      </c>
      <c r="C48" t="s">
        <v>772</v>
      </c>
      <c r="D48" t="s">
        <v>773</v>
      </c>
      <c r="E48" t="s">
        <v>988</v>
      </c>
    </row>
    <row r="49" spans="1:5" x14ac:dyDescent="0.3">
      <c r="A49" t="s">
        <v>5</v>
      </c>
      <c r="B49" s="5">
        <v>3</v>
      </c>
      <c r="C49" t="s">
        <v>774</v>
      </c>
      <c r="D49" t="s">
        <v>775</v>
      </c>
      <c r="E49" t="s">
        <v>988</v>
      </c>
    </row>
    <row r="50" spans="1:5" x14ac:dyDescent="0.3">
      <c r="A50" t="s">
        <v>5</v>
      </c>
      <c r="B50" s="5">
        <v>4</v>
      </c>
      <c r="C50" t="s">
        <v>776</v>
      </c>
      <c r="D50" t="s">
        <v>777</v>
      </c>
      <c r="E50" t="s">
        <v>988</v>
      </c>
    </row>
    <row r="51" spans="1:5" x14ac:dyDescent="0.3">
      <c r="A51" t="s">
        <v>5</v>
      </c>
      <c r="B51" s="5">
        <v>5</v>
      </c>
      <c r="C51" t="s">
        <v>778</v>
      </c>
      <c r="D51" t="s">
        <v>779</v>
      </c>
      <c r="E51" t="s">
        <v>988</v>
      </c>
    </row>
    <row r="52" spans="1:5" x14ac:dyDescent="0.3">
      <c r="A52" t="s">
        <v>780</v>
      </c>
      <c r="B52" s="5">
        <v>1</v>
      </c>
      <c r="C52" t="s">
        <v>781</v>
      </c>
      <c r="D52" t="s">
        <v>782</v>
      </c>
      <c r="E52" t="s">
        <v>989</v>
      </c>
    </row>
    <row r="53" spans="1:5" x14ac:dyDescent="0.3">
      <c r="A53" t="s">
        <v>780</v>
      </c>
      <c r="B53" s="5">
        <v>2</v>
      </c>
      <c r="C53" t="s">
        <v>783</v>
      </c>
      <c r="D53" t="s">
        <v>784</v>
      </c>
      <c r="E53" t="s">
        <v>989</v>
      </c>
    </row>
    <row r="54" spans="1:5" x14ac:dyDescent="0.3">
      <c r="A54" t="s">
        <v>780</v>
      </c>
      <c r="B54" s="5">
        <v>3</v>
      </c>
      <c r="C54" t="s">
        <v>785</v>
      </c>
      <c r="D54" t="s">
        <v>786</v>
      </c>
      <c r="E54" t="s">
        <v>989</v>
      </c>
    </row>
    <row r="55" spans="1:5" x14ac:dyDescent="0.3">
      <c r="A55" t="s">
        <v>780</v>
      </c>
      <c r="B55" s="5">
        <v>4</v>
      </c>
      <c r="C55" t="s">
        <v>787</v>
      </c>
      <c r="D55" t="s">
        <v>788</v>
      </c>
      <c r="E55" t="s">
        <v>989</v>
      </c>
    </row>
    <row r="56" spans="1:5" x14ac:dyDescent="0.3">
      <c r="A56" t="s">
        <v>780</v>
      </c>
      <c r="B56" s="5">
        <v>5</v>
      </c>
      <c r="C56" t="s">
        <v>789</v>
      </c>
      <c r="D56" t="s">
        <v>790</v>
      </c>
      <c r="E56" t="s">
        <v>989</v>
      </c>
    </row>
    <row r="57" spans="1:5" x14ac:dyDescent="0.3">
      <c r="A57" t="s">
        <v>791</v>
      </c>
      <c r="B57" s="5">
        <v>1</v>
      </c>
      <c r="C57" t="s">
        <v>792</v>
      </c>
      <c r="D57" t="s">
        <v>793</v>
      </c>
      <c r="E57" t="s">
        <v>990</v>
      </c>
    </row>
    <row r="58" spans="1:5" x14ac:dyDescent="0.3">
      <c r="A58" t="s">
        <v>791</v>
      </c>
      <c r="B58" s="5">
        <v>2</v>
      </c>
      <c r="C58" t="s">
        <v>794</v>
      </c>
      <c r="D58" t="s">
        <v>795</v>
      </c>
      <c r="E58" t="s">
        <v>990</v>
      </c>
    </row>
    <row r="59" spans="1:5" x14ac:dyDescent="0.3">
      <c r="A59" t="s">
        <v>791</v>
      </c>
      <c r="B59" s="5">
        <v>3</v>
      </c>
      <c r="C59" t="s">
        <v>796</v>
      </c>
      <c r="D59" t="s">
        <v>797</v>
      </c>
      <c r="E59" t="s">
        <v>990</v>
      </c>
    </row>
    <row r="60" spans="1:5" x14ac:dyDescent="0.3">
      <c r="A60" t="s">
        <v>791</v>
      </c>
      <c r="B60" s="5">
        <v>4</v>
      </c>
      <c r="C60" t="s">
        <v>798</v>
      </c>
      <c r="D60" t="s">
        <v>799</v>
      </c>
      <c r="E60" t="s">
        <v>990</v>
      </c>
    </row>
    <row r="61" spans="1:5" x14ac:dyDescent="0.3">
      <c r="A61" t="s">
        <v>791</v>
      </c>
      <c r="B61" s="5">
        <v>5</v>
      </c>
      <c r="C61" t="s">
        <v>800</v>
      </c>
      <c r="D61" t="s">
        <v>801</v>
      </c>
      <c r="E61" t="s">
        <v>990</v>
      </c>
    </row>
    <row r="62" spans="1:5" x14ac:dyDescent="0.3">
      <c r="A62" t="s">
        <v>802</v>
      </c>
      <c r="B62" s="5">
        <v>1</v>
      </c>
      <c r="C62" t="s">
        <v>803</v>
      </c>
      <c r="D62" t="s">
        <v>804</v>
      </c>
      <c r="E62" t="s">
        <v>991</v>
      </c>
    </row>
    <row r="63" spans="1:5" x14ac:dyDescent="0.3">
      <c r="A63" t="s">
        <v>802</v>
      </c>
      <c r="B63" s="5">
        <v>2</v>
      </c>
      <c r="C63" t="s">
        <v>805</v>
      </c>
      <c r="D63" t="s">
        <v>806</v>
      </c>
      <c r="E63" t="s">
        <v>991</v>
      </c>
    </row>
    <row r="64" spans="1:5" x14ac:dyDescent="0.3">
      <c r="A64" t="s">
        <v>802</v>
      </c>
      <c r="B64" s="5">
        <v>3</v>
      </c>
      <c r="C64" t="s">
        <v>807</v>
      </c>
      <c r="D64" t="s">
        <v>808</v>
      </c>
      <c r="E64" t="s">
        <v>991</v>
      </c>
    </row>
    <row r="65" spans="1:5" x14ac:dyDescent="0.3">
      <c r="A65" t="s">
        <v>802</v>
      </c>
      <c r="B65" s="5">
        <v>4</v>
      </c>
      <c r="C65" t="s">
        <v>809</v>
      </c>
      <c r="D65" t="s">
        <v>810</v>
      </c>
      <c r="E65" t="s">
        <v>991</v>
      </c>
    </row>
    <row r="66" spans="1:5" x14ac:dyDescent="0.3">
      <c r="A66" t="s">
        <v>802</v>
      </c>
      <c r="B66" s="5">
        <v>5</v>
      </c>
      <c r="C66" t="s">
        <v>811</v>
      </c>
      <c r="D66" t="s">
        <v>812</v>
      </c>
      <c r="E66" t="s">
        <v>991</v>
      </c>
    </row>
    <row r="67" spans="1:5" x14ac:dyDescent="0.3">
      <c r="A67" t="s">
        <v>813</v>
      </c>
      <c r="B67" s="5">
        <v>1</v>
      </c>
      <c r="C67" t="s">
        <v>814</v>
      </c>
      <c r="D67" t="s">
        <v>815</v>
      </c>
      <c r="E67" t="s">
        <v>992</v>
      </c>
    </row>
    <row r="68" spans="1:5" x14ac:dyDescent="0.3">
      <c r="A68" t="s">
        <v>813</v>
      </c>
      <c r="B68" s="5">
        <v>2</v>
      </c>
      <c r="C68" t="s">
        <v>816</v>
      </c>
      <c r="D68" t="s">
        <v>817</v>
      </c>
      <c r="E68" t="s">
        <v>992</v>
      </c>
    </row>
    <row r="69" spans="1:5" x14ac:dyDescent="0.3">
      <c r="A69" t="s">
        <v>813</v>
      </c>
      <c r="B69" s="5">
        <v>3</v>
      </c>
      <c r="C69" t="s">
        <v>818</v>
      </c>
      <c r="D69" t="s">
        <v>819</v>
      </c>
      <c r="E69" t="s">
        <v>992</v>
      </c>
    </row>
    <row r="70" spans="1:5" x14ac:dyDescent="0.3">
      <c r="A70" t="s">
        <v>813</v>
      </c>
      <c r="B70" s="5">
        <v>4</v>
      </c>
      <c r="C70" t="s">
        <v>820</v>
      </c>
      <c r="D70" t="s">
        <v>821</v>
      </c>
      <c r="E70" t="s">
        <v>992</v>
      </c>
    </row>
    <row r="71" spans="1:5" x14ac:dyDescent="0.3">
      <c r="A71" t="s">
        <v>813</v>
      </c>
      <c r="B71" s="5">
        <v>5</v>
      </c>
      <c r="C71" t="s">
        <v>822</v>
      </c>
      <c r="D71" t="s">
        <v>823</v>
      </c>
      <c r="E71" t="s">
        <v>992</v>
      </c>
    </row>
    <row r="72" spans="1:5" x14ac:dyDescent="0.3">
      <c r="A72" t="s">
        <v>824</v>
      </c>
      <c r="B72" s="5">
        <v>1</v>
      </c>
      <c r="C72" t="s">
        <v>825</v>
      </c>
      <c r="D72" t="s">
        <v>826</v>
      </c>
      <c r="E72" t="s">
        <v>993</v>
      </c>
    </row>
    <row r="73" spans="1:5" x14ac:dyDescent="0.3">
      <c r="A73" t="s">
        <v>824</v>
      </c>
      <c r="B73" s="5">
        <v>2</v>
      </c>
      <c r="C73" t="s">
        <v>827</v>
      </c>
      <c r="D73" t="s">
        <v>828</v>
      </c>
      <c r="E73" t="s">
        <v>993</v>
      </c>
    </row>
    <row r="74" spans="1:5" x14ac:dyDescent="0.3">
      <c r="A74" t="s">
        <v>824</v>
      </c>
      <c r="B74" s="5">
        <v>3</v>
      </c>
      <c r="C74" t="s">
        <v>829</v>
      </c>
      <c r="D74" t="s">
        <v>830</v>
      </c>
      <c r="E74" t="s">
        <v>993</v>
      </c>
    </row>
    <row r="75" spans="1:5" x14ac:dyDescent="0.3">
      <c r="A75" t="s">
        <v>824</v>
      </c>
      <c r="B75" s="5">
        <v>4</v>
      </c>
      <c r="C75" t="s">
        <v>831</v>
      </c>
      <c r="D75" t="s">
        <v>832</v>
      </c>
      <c r="E75" t="s">
        <v>993</v>
      </c>
    </row>
    <row r="76" spans="1:5" x14ac:dyDescent="0.3">
      <c r="A76" t="s">
        <v>824</v>
      </c>
      <c r="B76" s="5">
        <v>5</v>
      </c>
      <c r="C76" t="s">
        <v>833</v>
      </c>
      <c r="D76" t="s">
        <v>834</v>
      </c>
      <c r="E76" t="s">
        <v>993</v>
      </c>
    </row>
    <row r="77" spans="1:5" x14ac:dyDescent="0.3">
      <c r="A77" t="s">
        <v>835</v>
      </c>
      <c r="B77" s="5">
        <v>1</v>
      </c>
      <c r="C77" t="s">
        <v>836</v>
      </c>
      <c r="D77" t="s">
        <v>837</v>
      </c>
      <c r="E77" t="s">
        <v>994</v>
      </c>
    </row>
    <row r="78" spans="1:5" x14ac:dyDescent="0.3">
      <c r="A78" t="s">
        <v>835</v>
      </c>
      <c r="B78" s="5">
        <v>2</v>
      </c>
      <c r="C78" t="s">
        <v>838</v>
      </c>
      <c r="D78" t="s">
        <v>839</v>
      </c>
      <c r="E78" t="s">
        <v>994</v>
      </c>
    </row>
    <row r="79" spans="1:5" x14ac:dyDescent="0.3">
      <c r="A79" t="s">
        <v>835</v>
      </c>
      <c r="B79" s="5">
        <v>3</v>
      </c>
      <c r="C79" t="s">
        <v>840</v>
      </c>
      <c r="D79" t="s">
        <v>841</v>
      </c>
      <c r="E79" t="s">
        <v>994</v>
      </c>
    </row>
    <row r="80" spans="1:5" x14ac:dyDescent="0.3">
      <c r="A80" t="s">
        <v>835</v>
      </c>
      <c r="B80" s="5">
        <v>4</v>
      </c>
      <c r="C80" t="s">
        <v>842</v>
      </c>
      <c r="D80" t="s">
        <v>843</v>
      </c>
      <c r="E80" t="s">
        <v>994</v>
      </c>
    </row>
    <row r="81" spans="1:5" x14ac:dyDescent="0.3">
      <c r="A81" t="s">
        <v>835</v>
      </c>
      <c r="B81" s="5">
        <v>5</v>
      </c>
      <c r="C81" t="s">
        <v>844</v>
      </c>
      <c r="D81" t="s">
        <v>845</v>
      </c>
      <c r="E81" t="s">
        <v>994</v>
      </c>
    </row>
    <row r="82" spans="1:5" x14ac:dyDescent="0.3">
      <c r="A82" t="s">
        <v>846</v>
      </c>
      <c r="B82" s="5">
        <v>1</v>
      </c>
      <c r="C82" t="s">
        <v>847</v>
      </c>
      <c r="D82" t="s">
        <v>848</v>
      </c>
      <c r="E82" t="s">
        <v>995</v>
      </c>
    </row>
    <row r="83" spans="1:5" x14ac:dyDescent="0.3">
      <c r="A83" t="s">
        <v>846</v>
      </c>
      <c r="B83" s="5">
        <v>2</v>
      </c>
      <c r="C83" t="s">
        <v>849</v>
      </c>
      <c r="D83" t="s">
        <v>850</v>
      </c>
      <c r="E83" t="s">
        <v>995</v>
      </c>
    </row>
    <row r="84" spans="1:5" x14ac:dyDescent="0.3">
      <c r="A84" t="s">
        <v>846</v>
      </c>
      <c r="B84" s="5">
        <v>3</v>
      </c>
      <c r="C84" t="s">
        <v>851</v>
      </c>
      <c r="D84" t="s">
        <v>852</v>
      </c>
      <c r="E84" t="s">
        <v>995</v>
      </c>
    </row>
    <row r="85" spans="1:5" x14ac:dyDescent="0.3">
      <c r="A85" t="s">
        <v>846</v>
      </c>
      <c r="B85" s="5">
        <v>4</v>
      </c>
      <c r="C85" t="s">
        <v>853</v>
      </c>
      <c r="D85" t="s">
        <v>854</v>
      </c>
      <c r="E85" t="s">
        <v>995</v>
      </c>
    </row>
    <row r="86" spans="1:5" x14ac:dyDescent="0.3">
      <c r="A86" t="s">
        <v>846</v>
      </c>
      <c r="B86" s="5">
        <v>5</v>
      </c>
      <c r="C86" t="s">
        <v>855</v>
      </c>
      <c r="D86" t="s">
        <v>856</v>
      </c>
      <c r="E86" t="s">
        <v>995</v>
      </c>
    </row>
    <row r="87" spans="1:5" x14ac:dyDescent="0.3">
      <c r="A87" t="s">
        <v>857</v>
      </c>
      <c r="B87" s="5">
        <v>1</v>
      </c>
      <c r="C87" t="s">
        <v>858</v>
      </c>
      <c r="D87" t="s">
        <v>859</v>
      </c>
      <c r="E87" t="s">
        <v>996</v>
      </c>
    </row>
    <row r="88" spans="1:5" x14ac:dyDescent="0.3">
      <c r="A88" t="s">
        <v>857</v>
      </c>
      <c r="B88" s="5">
        <v>2</v>
      </c>
      <c r="C88" t="s">
        <v>860</v>
      </c>
      <c r="D88" t="s">
        <v>861</v>
      </c>
      <c r="E88" t="s">
        <v>996</v>
      </c>
    </row>
    <row r="89" spans="1:5" x14ac:dyDescent="0.3">
      <c r="A89" t="s">
        <v>857</v>
      </c>
      <c r="B89" s="5">
        <v>3</v>
      </c>
      <c r="C89" t="s">
        <v>862</v>
      </c>
      <c r="D89" t="s">
        <v>863</v>
      </c>
      <c r="E89" t="s">
        <v>996</v>
      </c>
    </row>
    <row r="90" spans="1:5" x14ac:dyDescent="0.3">
      <c r="A90" t="s">
        <v>857</v>
      </c>
      <c r="B90" s="5">
        <v>4</v>
      </c>
      <c r="C90" t="s">
        <v>864</v>
      </c>
      <c r="D90" t="s">
        <v>865</v>
      </c>
      <c r="E90" t="s">
        <v>996</v>
      </c>
    </row>
    <row r="91" spans="1:5" x14ac:dyDescent="0.3">
      <c r="A91" t="s">
        <v>857</v>
      </c>
      <c r="B91" s="5">
        <v>5</v>
      </c>
      <c r="C91" t="s">
        <v>866</v>
      </c>
      <c r="D91" t="s">
        <v>867</v>
      </c>
      <c r="E91" t="s">
        <v>996</v>
      </c>
    </row>
    <row r="92" spans="1:5" x14ac:dyDescent="0.3">
      <c r="A92" t="s">
        <v>868</v>
      </c>
      <c r="B92" s="5">
        <v>1</v>
      </c>
      <c r="C92" t="s">
        <v>869</v>
      </c>
      <c r="D92" t="s">
        <v>870</v>
      </c>
      <c r="E92" t="s">
        <v>997</v>
      </c>
    </row>
    <row r="93" spans="1:5" x14ac:dyDescent="0.3">
      <c r="A93" t="s">
        <v>868</v>
      </c>
      <c r="B93" s="5">
        <v>2</v>
      </c>
      <c r="C93" t="s">
        <v>871</v>
      </c>
      <c r="D93" t="s">
        <v>872</v>
      </c>
      <c r="E93" t="s">
        <v>997</v>
      </c>
    </row>
    <row r="94" spans="1:5" x14ac:dyDescent="0.3">
      <c r="A94" t="s">
        <v>868</v>
      </c>
      <c r="B94" s="5">
        <v>3</v>
      </c>
      <c r="C94" t="s">
        <v>873</v>
      </c>
      <c r="D94" t="s">
        <v>874</v>
      </c>
      <c r="E94" t="s">
        <v>997</v>
      </c>
    </row>
    <row r="95" spans="1:5" x14ac:dyDescent="0.3">
      <c r="A95" t="s">
        <v>868</v>
      </c>
      <c r="B95" s="5">
        <v>4</v>
      </c>
      <c r="C95" t="s">
        <v>875</v>
      </c>
      <c r="D95" t="s">
        <v>876</v>
      </c>
      <c r="E95" t="s">
        <v>997</v>
      </c>
    </row>
    <row r="96" spans="1:5" x14ac:dyDescent="0.3">
      <c r="A96" t="s">
        <v>868</v>
      </c>
      <c r="B96" s="5">
        <v>5</v>
      </c>
      <c r="C96" t="s">
        <v>877</v>
      </c>
      <c r="D96" t="s">
        <v>878</v>
      </c>
      <c r="E96" t="s">
        <v>997</v>
      </c>
    </row>
    <row r="97" spans="1:5" x14ac:dyDescent="0.3">
      <c r="A97" t="s">
        <v>879</v>
      </c>
      <c r="B97" s="5">
        <v>1</v>
      </c>
      <c r="C97" t="s">
        <v>880</v>
      </c>
      <c r="D97" t="s">
        <v>881</v>
      </c>
    </row>
    <row r="98" spans="1:5" x14ac:dyDescent="0.3">
      <c r="A98" t="s">
        <v>879</v>
      </c>
      <c r="B98" s="5">
        <v>2</v>
      </c>
      <c r="C98" t="s">
        <v>882</v>
      </c>
      <c r="D98" t="s">
        <v>883</v>
      </c>
    </row>
    <row r="99" spans="1:5" x14ac:dyDescent="0.3">
      <c r="A99" t="s">
        <v>879</v>
      </c>
      <c r="B99" s="5">
        <v>3</v>
      </c>
      <c r="C99" t="s">
        <v>884</v>
      </c>
      <c r="D99" t="s">
        <v>885</v>
      </c>
    </row>
    <row r="100" spans="1:5" x14ac:dyDescent="0.3">
      <c r="A100" t="s">
        <v>879</v>
      </c>
      <c r="B100" s="5">
        <v>4</v>
      </c>
      <c r="C100" t="s">
        <v>886</v>
      </c>
      <c r="D100" t="s">
        <v>887</v>
      </c>
    </row>
    <row r="101" spans="1:5" x14ac:dyDescent="0.3">
      <c r="A101" t="s">
        <v>879</v>
      </c>
      <c r="B101" s="5">
        <v>5</v>
      </c>
      <c r="C101" t="s">
        <v>888</v>
      </c>
      <c r="D101" t="s">
        <v>889</v>
      </c>
    </row>
    <row r="102" spans="1:5" x14ac:dyDescent="0.3">
      <c r="A102" t="s">
        <v>890</v>
      </c>
      <c r="B102" s="5">
        <v>1</v>
      </c>
      <c r="C102" t="s">
        <v>891</v>
      </c>
      <c r="D102" t="s">
        <v>892</v>
      </c>
      <c r="E102" t="s">
        <v>998</v>
      </c>
    </row>
    <row r="103" spans="1:5" x14ac:dyDescent="0.3">
      <c r="A103" t="s">
        <v>890</v>
      </c>
      <c r="B103" s="5">
        <v>2</v>
      </c>
      <c r="C103" t="s">
        <v>893</v>
      </c>
      <c r="D103" t="s">
        <v>894</v>
      </c>
      <c r="E103" t="s">
        <v>998</v>
      </c>
    </row>
    <row r="104" spans="1:5" x14ac:dyDescent="0.3">
      <c r="A104" t="s">
        <v>890</v>
      </c>
      <c r="B104" s="5">
        <v>3</v>
      </c>
      <c r="C104" t="s">
        <v>895</v>
      </c>
      <c r="D104" t="s">
        <v>896</v>
      </c>
      <c r="E104" t="s">
        <v>998</v>
      </c>
    </row>
    <row r="105" spans="1:5" x14ac:dyDescent="0.3">
      <c r="A105" t="s">
        <v>890</v>
      </c>
      <c r="B105" s="5">
        <v>4</v>
      </c>
      <c r="C105" t="s">
        <v>897</v>
      </c>
      <c r="D105" t="s">
        <v>898</v>
      </c>
      <c r="E105" t="s">
        <v>998</v>
      </c>
    </row>
    <row r="106" spans="1:5" x14ac:dyDescent="0.3">
      <c r="A106" t="s">
        <v>890</v>
      </c>
      <c r="B106" s="5">
        <v>5</v>
      </c>
      <c r="C106" t="s">
        <v>899</v>
      </c>
      <c r="D106" t="s">
        <v>900</v>
      </c>
      <c r="E106" t="s">
        <v>998</v>
      </c>
    </row>
    <row r="107" spans="1:5" x14ac:dyDescent="0.3">
      <c r="A107" t="s">
        <v>901</v>
      </c>
      <c r="B107" s="5">
        <v>1</v>
      </c>
      <c r="C107" t="s">
        <v>902</v>
      </c>
      <c r="D107" t="s">
        <v>903</v>
      </c>
      <c r="E107" t="s">
        <v>999</v>
      </c>
    </row>
    <row r="108" spans="1:5" x14ac:dyDescent="0.3">
      <c r="A108" t="s">
        <v>901</v>
      </c>
      <c r="B108" s="5">
        <v>2</v>
      </c>
      <c r="C108" t="s">
        <v>904</v>
      </c>
      <c r="D108" t="s">
        <v>905</v>
      </c>
      <c r="E108" t="s">
        <v>999</v>
      </c>
    </row>
    <row r="109" spans="1:5" x14ac:dyDescent="0.3">
      <c r="A109" t="s">
        <v>901</v>
      </c>
      <c r="B109" s="5">
        <v>3</v>
      </c>
      <c r="C109" t="s">
        <v>906</v>
      </c>
      <c r="D109" t="s">
        <v>907</v>
      </c>
      <c r="E109" t="s">
        <v>999</v>
      </c>
    </row>
    <row r="110" spans="1:5" x14ac:dyDescent="0.3">
      <c r="A110" t="s">
        <v>901</v>
      </c>
      <c r="B110" s="5">
        <v>4</v>
      </c>
      <c r="C110" t="s">
        <v>908</v>
      </c>
      <c r="D110" t="s">
        <v>909</v>
      </c>
      <c r="E110" t="s">
        <v>999</v>
      </c>
    </row>
    <row r="111" spans="1:5" x14ac:dyDescent="0.3">
      <c r="A111" t="s">
        <v>901</v>
      </c>
      <c r="B111" s="5">
        <v>5</v>
      </c>
      <c r="C111" t="s">
        <v>910</v>
      </c>
      <c r="D111" t="s">
        <v>911</v>
      </c>
      <c r="E111" t="s">
        <v>999</v>
      </c>
    </row>
    <row r="112" spans="1:5" x14ac:dyDescent="0.3">
      <c r="A112" t="s">
        <v>912</v>
      </c>
      <c r="B112" s="5">
        <v>1</v>
      </c>
      <c r="C112" t="s">
        <v>913</v>
      </c>
      <c r="D112" t="s">
        <v>914</v>
      </c>
      <c r="E112" t="s">
        <v>1000</v>
      </c>
    </row>
    <row r="113" spans="1:5" x14ac:dyDescent="0.3">
      <c r="A113" t="s">
        <v>912</v>
      </c>
      <c r="B113" s="5">
        <v>2</v>
      </c>
      <c r="C113" t="s">
        <v>915</v>
      </c>
      <c r="D113" t="s">
        <v>916</v>
      </c>
      <c r="E113" t="s">
        <v>1000</v>
      </c>
    </row>
    <row r="114" spans="1:5" x14ac:dyDescent="0.3">
      <c r="A114" t="s">
        <v>912</v>
      </c>
      <c r="B114" s="5">
        <v>3</v>
      </c>
      <c r="C114" t="s">
        <v>917</v>
      </c>
      <c r="D114" t="s">
        <v>918</v>
      </c>
      <c r="E114" t="s">
        <v>1000</v>
      </c>
    </row>
    <row r="115" spans="1:5" x14ac:dyDescent="0.3">
      <c r="A115" t="s">
        <v>912</v>
      </c>
      <c r="B115" s="5">
        <v>4</v>
      </c>
      <c r="C115" t="s">
        <v>919</v>
      </c>
      <c r="D115" t="s">
        <v>920</v>
      </c>
      <c r="E115" t="s">
        <v>1000</v>
      </c>
    </row>
    <row r="116" spans="1:5" x14ac:dyDescent="0.3">
      <c r="A116" t="s">
        <v>912</v>
      </c>
      <c r="B116" s="5">
        <v>5</v>
      </c>
      <c r="C116" t="s">
        <v>921</v>
      </c>
      <c r="D116" t="s">
        <v>922</v>
      </c>
      <c r="E116" t="s">
        <v>1000</v>
      </c>
    </row>
    <row r="117" spans="1:5" x14ac:dyDescent="0.3">
      <c r="A117" t="s">
        <v>923</v>
      </c>
      <c r="B117" s="5">
        <v>1</v>
      </c>
      <c r="C117" t="s">
        <v>924</v>
      </c>
      <c r="D117" t="s">
        <v>925</v>
      </c>
      <c r="E117" t="s">
        <v>1001</v>
      </c>
    </row>
    <row r="118" spans="1:5" x14ac:dyDescent="0.3">
      <c r="A118" t="s">
        <v>923</v>
      </c>
      <c r="B118" s="5">
        <v>2</v>
      </c>
      <c r="C118" t="s">
        <v>926</v>
      </c>
      <c r="D118" t="s">
        <v>927</v>
      </c>
      <c r="E118" t="s">
        <v>1001</v>
      </c>
    </row>
    <row r="119" spans="1:5" x14ac:dyDescent="0.3">
      <c r="A119" t="s">
        <v>923</v>
      </c>
      <c r="B119" s="5">
        <v>3</v>
      </c>
      <c r="C119" t="s">
        <v>928</v>
      </c>
      <c r="D119" t="s">
        <v>929</v>
      </c>
      <c r="E119" t="s">
        <v>1001</v>
      </c>
    </row>
    <row r="120" spans="1:5" x14ac:dyDescent="0.3">
      <c r="A120" t="s">
        <v>923</v>
      </c>
      <c r="B120" s="5">
        <v>4</v>
      </c>
      <c r="C120" t="s">
        <v>930</v>
      </c>
      <c r="D120" t="s">
        <v>931</v>
      </c>
      <c r="E120" t="s">
        <v>1001</v>
      </c>
    </row>
    <row r="121" spans="1:5" x14ac:dyDescent="0.3">
      <c r="A121" t="s">
        <v>923</v>
      </c>
      <c r="B121" s="5">
        <v>5</v>
      </c>
      <c r="C121" t="s">
        <v>932</v>
      </c>
      <c r="D121" t="s">
        <v>933</v>
      </c>
      <c r="E121" t="s">
        <v>1001</v>
      </c>
    </row>
    <row r="122" spans="1:5" x14ac:dyDescent="0.3">
      <c r="A122" t="s">
        <v>934</v>
      </c>
      <c r="B122" s="5">
        <v>1</v>
      </c>
      <c r="C122" t="s">
        <v>935</v>
      </c>
      <c r="D122" t="s">
        <v>936</v>
      </c>
      <c r="E122" t="s">
        <v>1002</v>
      </c>
    </row>
    <row r="123" spans="1:5" x14ac:dyDescent="0.3">
      <c r="A123" t="s">
        <v>934</v>
      </c>
      <c r="B123" s="5">
        <v>2</v>
      </c>
      <c r="C123" t="s">
        <v>937</v>
      </c>
      <c r="D123" t="s">
        <v>938</v>
      </c>
      <c r="E123" t="s">
        <v>1002</v>
      </c>
    </row>
    <row r="124" spans="1:5" x14ac:dyDescent="0.3">
      <c r="A124" t="s">
        <v>934</v>
      </c>
      <c r="B124" s="5">
        <v>3</v>
      </c>
      <c r="C124" t="s">
        <v>939</v>
      </c>
      <c r="D124" t="s">
        <v>940</v>
      </c>
      <c r="E124" t="s">
        <v>1002</v>
      </c>
    </row>
    <row r="125" spans="1:5" x14ac:dyDescent="0.3">
      <c r="A125" t="s">
        <v>934</v>
      </c>
      <c r="B125" s="5">
        <v>4</v>
      </c>
      <c r="C125" t="s">
        <v>941</v>
      </c>
      <c r="D125" t="s">
        <v>942</v>
      </c>
      <c r="E125" t="s">
        <v>1002</v>
      </c>
    </row>
    <row r="126" spans="1:5" x14ac:dyDescent="0.3">
      <c r="A126" t="s">
        <v>934</v>
      </c>
      <c r="B126" s="5">
        <v>5</v>
      </c>
      <c r="C126" t="s">
        <v>943</v>
      </c>
      <c r="D126" t="s">
        <v>944</v>
      </c>
      <c r="E126" t="s">
        <v>1002</v>
      </c>
    </row>
    <row r="127" spans="1:5" x14ac:dyDescent="0.3">
      <c r="A127" t="s">
        <v>945</v>
      </c>
      <c r="B127" s="5">
        <v>1</v>
      </c>
      <c r="C127" t="s">
        <v>946</v>
      </c>
      <c r="D127" t="s">
        <v>947</v>
      </c>
      <c r="E127" t="s">
        <v>986</v>
      </c>
    </row>
    <row r="128" spans="1:5" x14ac:dyDescent="0.3">
      <c r="A128" t="s">
        <v>945</v>
      </c>
      <c r="B128" s="5">
        <v>2</v>
      </c>
      <c r="C128" t="s">
        <v>948</v>
      </c>
      <c r="D128" t="s">
        <v>949</v>
      </c>
      <c r="E128" t="s">
        <v>986</v>
      </c>
    </row>
    <row r="129" spans="1:5" x14ac:dyDescent="0.3">
      <c r="A129" t="s">
        <v>945</v>
      </c>
      <c r="B129" s="5">
        <v>3</v>
      </c>
      <c r="C129" t="s">
        <v>950</v>
      </c>
      <c r="D129" t="s">
        <v>951</v>
      </c>
      <c r="E129" t="s">
        <v>986</v>
      </c>
    </row>
    <row r="130" spans="1:5" x14ac:dyDescent="0.3">
      <c r="A130" t="s">
        <v>945</v>
      </c>
      <c r="B130" s="5">
        <v>4</v>
      </c>
      <c r="C130" t="s">
        <v>952</v>
      </c>
      <c r="D130" t="s">
        <v>953</v>
      </c>
      <c r="E130" t="s">
        <v>986</v>
      </c>
    </row>
    <row r="131" spans="1:5" x14ac:dyDescent="0.3">
      <c r="A131" t="s">
        <v>945</v>
      </c>
      <c r="B131" s="5">
        <v>5</v>
      </c>
      <c r="C131" t="s">
        <v>954</v>
      </c>
      <c r="D131" t="s">
        <v>955</v>
      </c>
      <c r="E131" t="s">
        <v>986</v>
      </c>
    </row>
    <row r="132" spans="1:5" x14ac:dyDescent="0.3">
      <c r="A132" t="s">
        <v>956</v>
      </c>
      <c r="B132" s="5">
        <v>1</v>
      </c>
      <c r="C132" t="s">
        <v>957</v>
      </c>
      <c r="D132" t="s">
        <v>958</v>
      </c>
      <c r="E132" t="s">
        <v>1003</v>
      </c>
    </row>
    <row r="133" spans="1:5" x14ac:dyDescent="0.3">
      <c r="A133" t="s">
        <v>956</v>
      </c>
      <c r="B133" s="5">
        <v>2</v>
      </c>
      <c r="C133" t="s">
        <v>959</v>
      </c>
      <c r="D133" t="s">
        <v>960</v>
      </c>
      <c r="E133" t="s">
        <v>1003</v>
      </c>
    </row>
    <row r="134" spans="1:5" x14ac:dyDescent="0.3">
      <c r="A134" t="s">
        <v>956</v>
      </c>
      <c r="B134" s="5">
        <v>3</v>
      </c>
      <c r="C134" t="s">
        <v>961</v>
      </c>
      <c r="D134" t="s">
        <v>962</v>
      </c>
      <c r="E134" t="s">
        <v>1003</v>
      </c>
    </row>
    <row r="135" spans="1:5" x14ac:dyDescent="0.3">
      <c r="A135" t="s">
        <v>956</v>
      </c>
      <c r="B135" s="5">
        <v>4</v>
      </c>
      <c r="C135" t="s">
        <v>963</v>
      </c>
      <c r="D135" t="s">
        <v>964</v>
      </c>
      <c r="E135" t="s">
        <v>1003</v>
      </c>
    </row>
    <row r="136" spans="1:5" x14ac:dyDescent="0.3">
      <c r="A136" t="s">
        <v>956</v>
      </c>
      <c r="B136" s="5">
        <v>5</v>
      </c>
      <c r="C136" t="s">
        <v>965</v>
      </c>
      <c r="D136" t="s">
        <v>966</v>
      </c>
      <c r="E136" t="s">
        <v>1003</v>
      </c>
    </row>
    <row r="137" spans="1:5" x14ac:dyDescent="0.3">
      <c r="A137" t="s">
        <v>453</v>
      </c>
      <c r="B137" s="5">
        <v>1</v>
      </c>
      <c r="C137" t="s">
        <v>967</v>
      </c>
      <c r="D137" t="s">
        <v>968</v>
      </c>
      <c r="E137" t="s">
        <v>1004</v>
      </c>
    </row>
    <row r="138" spans="1:5" x14ac:dyDescent="0.3">
      <c r="A138" t="s">
        <v>453</v>
      </c>
      <c r="B138" s="5">
        <v>2</v>
      </c>
      <c r="C138" t="s">
        <v>969</v>
      </c>
      <c r="D138" t="s">
        <v>970</v>
      </c>
      <c r="E138" t="s">
        <v>1004</v>
      </c>
    </row>
    <row r="139" spans="1:5" x14ac:dyDescent="0.3">
      <c r="A139" t="s">
        <v>453</v>
      </c>
      <c r="B139" s="5">
        <v>3</v>
      </c>
      <c r="C139" t="s">
        <v>971</v>
      </c>
      <c r="D139" t="s">
        <v>972</v>
      </c>
      <c r="E139" t="s">
        <v>1004</v>
      </c>
    </row>
    <row r="140" spans="1:5" x14ac:dyDescent="0.3">
      <c r="A140" t="s">
        <v>453</v>
      </c>
      <c r="B140" s="5">
        <v>4</v>
      </c>
      <c r="C140" t="s">
        <v>973</v>
      </c>
      <c r="D140" t="s">
        <v>974</v>
      </c>
      <c r="E140" t="s">
        <v>1004</v>
      </c>
    </row>
    <row r="141" spans="1:5" x14ac:dyDescent="0.3">
      <c r="A141" t="s">
        <v>453</v>
      </c>
      <c r="B141" s="5">
        <v>5</v>
      </c>
      <c r="C141" t="s">
        <v>975</v>
      </c>
      <c r="D141" t="s">
        <v>976</v>
      </c>
      <c r="E141" t="s">
        <v>1004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E16" sqref="E16"/>
    </sheetView>
  </sheetViews>
  <sheetFormatPr defaultRowHeight="14.4" x14ac:dyDescent="0.3"/>
  <sheetData>
    <row r="2" spans="1:2" x14ac:dyDescent="0.3">
      <c r="A2" t="s">
        <v>338</v>
      </c>
    </row>
    <row r="3" spans="1:2" x14ac:dyDescent="0.3">
      <c r="B3" t="s">
        <v>337</v>
      </c>
    </row>
    <row r="4" spans="1:2" x14ac:dyDescent="0.3">
      <c r="B4" t="s">
        <v>339</v>
      </c>
    </row>
    <row r="5" spans="1:2" x14ac:dyDescent="0.3">
      <c r="B5" t="s">
        <v>340</v>
      </c>
    </row>
    <row r="9" spans="1:2" x14ac:dyDescent="0.3">
      <c r="B9" s="173" t="s">
        <v>503</v>
      </c>
    </row>
    <row r="10" spans="1:2" x14ac:dyDescent="0.3">
      <c r="B10" s="173" t="s">
        <v>504</v>
      </c>
    </row>
    <row r="11" spans="1:2" x14ac:dyDescent="0.3">
      <c r="B11" s="173" t="s">
        <v>505</v>
      </c>
    </row>
    <row r="12" spans="1:2" x14ac:dyDescent="0.3">
      <c r="B12" s="173" t="s">
        <v>506</v>
      </c>
    </row>
    <row r="13" spans="1:2" x14ac:dyDescent="0.3">
      <c r="B13" s="173" t="s">
        <v>507</v>
      </c>
    </row>
    <row r="14" spans="1:2" x14ac:dyDescent="0.3">
      <c r="B14" s="173" t="s">
        <v>508</v>
      </c>
    </row>
    <row r="15" spans="1:2" x14ac:dyDescent="0.3">
      <c r="B15" s="173" t="s">
        <v>509</v>
      </c>
    </row>
    <row r="16" spans="1:2" x14ac:dyDescent="0.3">
      <c r="B16" s="173" t="s">
        <v>510</v>
      </c>
    </row>
    <row r="17" spans="2:2" x14ac:dyDescent="0.3">
      <c r="B17" s="173" t="s">
        <v>511</v>
      </c>
    </row>
    <row r="18" spans="2:2" x14ac:dyDescent="0.3">
      <c r="B18" s="173" t="s">
        <v>512</v>
      </c>
    </row>
    <row r="19" spans="2:2" x14ac:dyDescent="0.3">
      <c r="B19" s="173" t="s">
        <v>513</v>
      </c>
    </row>
    <row r="20" spans="2:2" x14ac:dyDescent="0.3">
      <c r="B20" s="173" t="s">
        <v>514</v>
      </c>
    </row>
    <row r="21" spans="2:2" x14ac:dyDescent="0.3">
      <c r="B21" s="173" t="s">
        <v>515</v>
      </c>
    </row>
    <row r="22" spans="2:2" x14ac:dyDescent="0.3">
      <c r="B22" s="173" t="s">
        <v>516</v>
      </c>
    </row>
    <row r="23" spans="2:2" x14ac:dyDescent="0.3">
      <c r="B23" s="173" t="s">
        <v>517</v>
      </c>
    </row>
    <row r="24" spans="2:2" x14ac:dyDescent="0.3">
      <c r="B24" s="173" t="s">
        <v>518</v>
      </c>
    </row>
    <row r="25" spans="2:2" x14ac:dyDescent="0.3">
      <c r="B25" s="173" t="s">
        <v>519</v>
      </c>
    </row>
    <row r="26" spans="2:2" x14ac:dyDescent="0.3">
      <c r="B26" s="173" t="s">
        <v>520</v>
      </c>
    </row>
    <row r="27" spans="2:2" x14ac:dyDescent="0.3">
      <c r="B27" s="173" t="s">
        <v>521</v>
      </c>
    </row>
    <row r="28" spans="2:2" x14ac:dyDescent="0.3">
      <c r="B28" s="173" t="s">
        <v>522</v>
      </c>
    </row>
    <row r="29" spans="2:2" x14ac:dyDescent="0.3">
      <c r="B29" s="173" t="s">
        <v>523</v>
      </c>
    </row>
    <row r="30" spans="2:2" x14ac:dyDescent="0.3">
      <c r="B30" s="173" t="s">
        <v>524</v>
      </c>
    </row>
    <row r="31" spans="2:2" x14ac:dyDescent="0.3">
      <c r="B31" s="173" t="s">
        <v>525</v>
      </c>
    </row>
    <row r="32" spans="2:2" x14ac:dyDescent="0.3">
      <c r="B32" s="173" t="s">
        <v>526</v>
      </c>
    </row>
    <row r="33" spans="2:2" x14ac:dyDescent="0.3">
      <c r="B33" s="173" t="s">
        <v>527</v>
      </c>
    </row>
    <row r="34" spans="2:2" x14ac:dyDescent="0.3">
      <c r="B34" s="173" t="s">
        <v>528</v>
      </c>
    </row>
    <row r="35" spans="2:2" x14ac:dyDescent="0.3">
      <c r="B35" s="173" t="s">
        <v>529</v>
      </c>
    </row>
    <row r="36" spans="2:2" x14ac:dyDescent="0.3">
      <c r="B36" s="173" t="s">
        <v>530</v>
      </c>
    </row>
    <row r="37" spans="2:2" x14ac:dyDescent="0.3">
      <c r="B37" s="173" t="s">
        <v>531</v>
      </c>
    </row>
    <row r="38" spans="2:2" x14ac:dyDescent="0.3">
      <c r="B38" s="173" t="s">
        <v>532</v>
      </c>
    </row>
    <row r="39" spans="2:2" x14ac:dyDescent="0.3">
      <c r="B39" s="173" t="s">
        <v>533</v>
      </c>
    </row>
    <row r="40" spans="2:2" x14ac:dyDescent="0.3">
      <c r="B40" s="173" t="s">
        <v>534</v>
      </c>
    </row>
    <row r="41" spans="2:2" x14ac:dyDescent="0.3">
      <c r="B41" s="173" t="s">
        <v>535</v>
      </c>
    </row>
    <row r="42" spans="2:2" x14ac:dyDescent="0.3">
      <c r="B42" s="173" t="s">
        <v>536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543</v>
      </c>
      <c r="C1" s="63"/>
      <c r="D1" s="63" t="s">
        <v>544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18" t="s">
        <v>426</v>
      </c>
      <c r="B142" s="218"/>
      <c r="C142" s="218"/>
      <c r="D142" s="218"/>
      <c r="E142" s="218"/>
      <c r="F142" s="218"/>
      <c r="G142" s="218"/>
      <c r="H142" s="218"/>
      <c r="I142" s="218"/>
      <c r="J142" s="218"/>
      <c r="K142" s="218"/>
    </row>
    <row r="143" spans="1:12" x14ac:dyDescent="0.3">
      <c r="A143" s="218"/>
      <c r="B143" s="218"/>
      <c r="C143" s="218"/>
      <c r="D143" s="218"/>
      <c r="E143" s="218"/>
      <c r="F143" s="218"/>
      <c r="G143" s="218"/>
      <c r="H143" s="218"/>
      <c r="I143" s="218"/>
      <c r="J143" s="218"/>
      <c r="K143" s="218"/>
    </row>
    <row r="144" spans="1:12" x14ac:dyDescent="0.3">
      <c r="A144" s="218"/>
      <c r="B144" s="218"/>
      <c r="C144" s="218"/>
      <c r="D144" s="218"/>
      <c r="E144" s="218"/>
      <c r="F144" s="218"/>
      <c r="G144" s="218"/>
      <c r="H144" s="218"/>
      <c r="I144" s="218"/>
      <c r="J144" s="218"/>
      <c r="K144" s="218"/>
    </row>
    <row r="146" spans="1:11" x14ac:dyDescent="0.3">
      <c r="A146" s="90" t="s">
        <v>6</v>
      </c>
    </row>
    <row r="147" spans="1:11" x14ac:dyDescent="0.3">
      <c r="A147" s="218" t="s">
        <v>427</v>
      </c>
      <c r="B147" s="218"/>
      <c r="C147" s="218"/>
      <c r="D147" s="218"/>
      <c r="E147" s="218"/>
      <c r="F147" s="218"/>
      <c r="G147" s="218"/>
      <c r="H147" s="218"/>
      <c r="I147" s="218"/>
      <c r="J147" s="218"/>
      <c r="K147" s="218"/>
    </row>
    <row r="148" spans="1:11" x14ac:dyDescent="0.3">
      <c r="A148" s="218"/>
      <c r="B148" s="218"/>
      <c r="C148" s="218"/>
      <c r="D148" s="218"/>
      <c r="E148" s="218"/>
      <c r="F148" s="218"/>
      <c r="G148" s="218"/>
      <c r="H148" s="218"/>
      <c r="I148" s="218"/>
      <c r="J148" s="218"/>
      <c r="K148" s="218"/>
    </row>
    <row r="149" spans="1:11" x14ac:dyDescent="0.3">
      <c r="A149" s="218"/>
      <c r="B149" s="218"/>
      <c r="C149" s="218"/>
      <c r="D149" s="218"/>
      <c r="E149" s="218"/>
      <c r="F149" s="218"/>
      <c r="G149" s="218"/>
      <c r="H149" s="218"/>
      <c r="I149" s="218"/>
      <c r="J149" s="218"/>
      <c r="K149" s="218"/>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29" t="s">
        <v>209</v>
      </c>
      <c r="B1" s="229"/>
      <c r="C1" s="229"/>
      <c r="D1" s="229"/>
      <c r="E1" s="229"/>
      <c r="F1" s="229"/>
      <c r="G1" s="229"/>
      <c r="H1" s="229"/>
      <c r="I1" s="229"/>
      <c r="J1" s="229"/>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28" t="s">
        <v>230</v>
      </c>
      <c r="D23" s="228"/>
      <c r="E23" s="228"/>
      <c r="F23" s="228"/>
      <c r="G23" s="228"/>
      <c r="H23" s="228"/>
      <c r="I23" s="228"/>
      <c r="J23" s="228"/>
    </row>
    <row r="24" spans="1:10" ht="46.2" customHeight="1" x14ac:dyDescent="0.3">
      <c r="A24" s="13" t="s">
        <v>210</v>
      </c>
      <c r="C24" s="228" t="s">
        <v>223</v>
      </c>
      <c r="D24" s="228"/>
      <c r="E24" s="228"/>
      <c r="F24" s="228"/>
      <c r="G24" s="228"/>
      <c r="H24" s="228"/>
      <c r="I24" s="228"/>
      <c r="J24" s="228"/>
    </row>
    <row r="25" spans="1:10" ht="46.2" customHeight="1" x14ac:dyDescent="0.3">
      <c r="A25" s="13" t="s">
        <v>211</v>
      </c>
      <c r="C25" s="228" t="s">
        <v>224</v>
      </c>
      <c r="D25" s="228"/>
      <c r="E25" s="228"/>
      <c r="F25" s="228"/>
      <c r="G25" s="228"/>
      <c r="H25" s="228"/>
      <c r="I25" s="228"/>
      <c r="J25" s="228"/>
    </row>
    <row r="26" spans="1:10" ht="46.2" customHeight="1" x14ac:dyDescent="0.3">
      <c r="A26" s="13" t="s">
        <v>212</v>
      </c>
      <c r="C26" s="228" t="s">
        <v>225</v>
      </c>
      <c r="D26" s="228"/>
      <c r="E26" s="228"/>
      <c r="F26" s="228"/>
      <c r="G26" s="228"/>
      <c r="H26" s="228"/>
      <c r="I26" s="228"/>
      <c r="J26" s="228"/>
    </row>
    <row r="27" spans="1:10" ht="46.2" customHeight="1" x14ac:dyDescent="0.3">
      <c r="A27" s="13" t="s">
        <v>219</v>
      </c>
      <c r="C27" s="228" t="s">
        <v>226</v>
      </c>
      <c r="D27" s="228"/>
      <c r="E27" s="228"/>
      <c r="F27" s="228"/>
      <c r="G27" s="228"/>
      <c r="H27" s="228"/>
      <c r="I27" s="228"/>
      <c r="J27" s="228"/>
    </row>
    <row r="28" spans="1:10" ht="46.2" customHeight="1" x14ac:dyDescent="0.3">
      <c r="A28" s="13" t="s">
        <v>220</v>
      </c>
      <c r="C28" s="228" t="s">
        <v>227</v>
      </c>
      <c r="D28" s="228"/>
      <c r="E28" s="228"/>
      <c r="F28" s="228"/>
      <c r="G28" s="228"/>
      <c r="H28" s="228"/>
      <c r="I28" s="228"/>
      <c r="J28" s="228"/>
    </row>
    <row r="29" spans="1:10" ht="46.2" customHeight="1" x14ac:dyDescent="0.3">
      <c r="A29" s="13" t="s">
        <v>221</v>
      </c>
      <c r="C29" s="228" t="s">
        <v>234</v>
      </c>
      <c r="D29" s="228"/>
      <c r="E29" s="228"/>
      <c r="F29" s="228"/>
      <c r="G29" s="228"/>
      <c r="H29" s="228"/>
      <c r="I29" s="228"/>
      <c r="J29" s="228"/>
    </row>
    <row r="30" spans="1:10" ht="46.8" customHeight="1" x14ac:dyDescent="0.3">
      <c r="A30" s="13" t="s">
        <v>232</v>
      </c>
      <c r="C30" s="228" t="s">
        <v>233</v>
      </c>
      <c r="D30" s="228"/>
      <c r="E30" s="228"/>
      <c r="F30" s="228"/>
      <c r="G30" s="228"/>
      <c r="H30" s="228"/>
      <c r="I30" s="228"/>
      <c r="J30" s="228"/>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14</vt:i4>
      </vt:variant>
    </vt:vector>
  </HeadingPairs>
  <TitlesOfParts>
    <vt:vector size="14" baseType="lpstr">
      <vt:lpstr>_Brujah</vt:lpstr>
      <vt:lpstr>Scheda V3</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2025-11-24T20:50:12Z</cp:lastPrinted>
  <dcterms:created xsi:type="dcterms:W3CDTF">2025-10-05T22:02:24Z</dcterms:created>
  <dcterms:modified xsi:type="dcterms:W3CDTF">2025-11-25T18:14:03Z</dcterms:modified>
</cp:coreProperties>
</file>