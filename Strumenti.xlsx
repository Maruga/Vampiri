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Questa_cartella_di_lavoro" defaultThemeVersion="202300"/>
  <mc:AlternateContent xmlns:mc="http://schemas.openxmlformats.org/markup-compatibility/2006">
    <mc:Choice Requires="x15">
      <x15ac:absPath xmlns:x15ac="http://schemas.microsoft.com/office/spreadsheetml/2010/11/ac" url="C:\Public\_Clienti\Maruga\Giochi\Vampiri\Vault\Vampiri\"/>
    </mc:Choice>
  </mc:AlternateContent>
  <xr:revisionPtr revIDLastSave="0" documentId="13_ncr:1_{BEF5DEE8-9718-4F35-A22E-0C6152310965}" xr6:coauthVersionLast="47" xr6:coauthVersionMax="47" xr10:uidLastSave="{00000000-0000-0000-0000-000000000000}"/>
  <bookViews>
    <workbookView xWindow="32112" yWindow="0" windowWidth="20340" windowHeight="16656" activeTab="1" xr2:uid="{3C69CAEB-EF54-41D7-B74D-5F784B8051C2}"/>
  </bookViews>
  <sheets>
    <sheet name="Dadi" sheetId="7" r:id="rId1"/>
    <sheet name="Scheda Base" sheetId="1" r:id="rId2"/>
    <sheet name="Azioni" sheetId="5" r:id="rId3"/>
    <sheet name="Utilizo PE" sheetId="6" r:id="rId4"/>
    <sheet name="Attacco" sheetId="2" r:id="rId5"/>
    <sheet name="Dati" sheetId="3" r:id="rId6"/>
    <sheet name="Esperienza" sheetId="4"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7" l="1"/>
  <c r="F3" i="7"/>
  <c r="G3" i="7"/>
  <c r="H3" i="7"/>
  <c r="I3" i="7"/>
  <c r="J3" i="7"/>
  <c r="K3" i="7"/>
  <c r="L3" i="7"/>
  <c r="M3" i="7"/>
  <c r="D3" i="7"/>
  <c r="D7" i="7" s="1"/>
  <c r="I36" i="1"/>
  <c r="I35" i="1"/>
  <c r="K27" i="1"/>
  <c r="G27" i="1"/>
  <c r="C27" i="1"/>
  <c r="K13" i="1"/>
  <c r="G13" i="1"/>
  <c r="C13" i="1"/>
  <c r="D6" i="7" l="1"/>
  <c r="E6" i="7" s="1"/>
  <c r="F6" i="7" s="1"/>
  <c r="G6" i="7" s="1"/>
  <c r="H6" i="7" s="1"/>
  <c r="I6" i="7" s="1"/>
  <c r="J6" i="7" s="1"/>
  <c r="K6" i="7" s="1"/>
  <c r="L6" i="7" s="1"/>
  <c r="M6" i="7" s="1"/>
  <c r="D5" i="7"/>
  <c r="E5" i="7" s="1"/>
  <c r="F5" i="7" s="1"/>
  <c r="G5" i="7" s="1"/>
  <c r="H5" i="7" s="1"/>
  <c r="I5" i="7" s="1"/>
  <c r="J5" i="7" s="1"/>
  <c r="K5" i="7" s="1"/>
  <c r="L5" i="7" s="1"/>
  <c r="M5" i="7" s="1"/>
  <c r="D13" i="7"/>
  <c r="D12" i="7"/>
  <c r="D11" i="7"/>
  <c r="D10" i="7"/>
  <c r="D9" i="7"/>
  <c r="D8" i="7"/>
  <c r="E13" i="7" l="1"/>
  <c r="E12" i="7"/>
  <c r="F12" i="7" s="1"/>
  <c r="G12" i="7" s="1"/>
  <c r="H12" i="7" s="1"/>
  <c r="I12" i="7" s="1"/>
  <c r="J12" i="7" s="1"/>
  <c r="K12" i="7" s="1"/>
  <c r="L12" i="7" s="1"/>
  <c r="M12" i="7" s="1"/>
  <c r="E8" i="7"/>
  <c r="E9" i="7"/>
  <c r="E10" i="7"/>
  <c r="E11" i="7"/>
  <c r="E7" i="7"/>
  <c r="F13" i="7" l="1"/>
  <c r="G13" i="7" s="1"/>
  <c r="H13" i="7" s="1"/>
  <c r="I13" i="7" s="1"/>
  <c r="J13" i="7" s="1"/>
  <c r="K13" i="7" s="1"/>
  <c r="L13" i="7" s="1"/>
  <c r="M13" i="7" s="1"/>
  <c r="F8" i="7"/>
  <c r="F11" i="7"/>
  <c r="F10" i="7"/>
  <c r="F7" i="7"/>
  <c r="F9" i="7"/>
  <c r="G10" i="7" l="1"/>
  <c r="G11" i="7"/>
  <c r="G8" i="7"/>
  <c r="G9" i="7"/>
  <c r="G7" i="7"/>
  <c r="G18" i="7" a="1"/>
  <c r="G18" i="7" l="1"/>
  <c r="H9" i="7"/>
  <c r="H8" i="7"/>
  <c r="H11" i="7"/>
  <c r="H10" i="7"/>
  <c r="H7" i="7"/>
  <c r="G19" i="7" a="1"/>
  <c r="G19" i="7" l="1"/>
  <c r="I9" i="7"/>
  <c r="J9" i="7" s="1"/>
  <c r="I10" i="7"/>
  <c r="I11" i="7"/>
  <c r="I8" i="7"/>
  <c r="I7" i="7"/>
  <c r="G20" i="7" a="1"/>
  <c r="G21" i="7" a="1"/>
  <c r="G21" i="7" l="1"/>
  <c r="G20" i="7"/>
  <c r="K9" i="7"/>
  <c r="J8" i="7"/>
  <c r="J11" i="7"/>
  <c r="J10" i="7"/>
  <c r="J7" i="7"/>
  <c r="G22" i="7" a="1"/>
  <c r="G22" i="7" l="1"/>
  <c r="K8" i="7"/>
  <c r="K10" i="7"/>
  <c r="K11" i="7"/>
  <c r="L9" i="7"/>
  <c r="K7" i="7"/>
  <c r="G23" i="7" a="1"/>
  <c r="G16" i="7" a="1"/>
  <c r="G16" i="7" l="1"/>
  <c r="G23" i="7"/>
  <c r="M9" i="7"/>
  <c r="L10" i="7"/>
  <c r="L11" i="7"/>
  <c r="L8" i="7"/>
  <c r="L7" i="7"/>
  <c r="M7" i="7" l="1"/>
  <c r="M8" i="7"/>
  <c r="M10" i="7"/>
  <c r="M11"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<sst xmlns="http://schemas.openxmlformats.org/spreadsheetml/2006/main" count="475" uniqueCount="374">
  <si>
    <t>Nome</t>
  </si>
  <si>
    <t>Giocatore</t>
  </si>
  <si>
    <t>Cronca</t>
  </si>
  <si>
    <t>Natura</t>
  </si>
  <si>
    <t>Carattere</t>
  </si>
  <si>
    <t>Clan</t>
  </si>
  <si>
    <t>Generazione</t>
  </si>
  <si>
    <t>Profilo</t>
  </si>
  <si>
    <t>Attributi</t>
  </si>
  <si>
    <t>Fisici</t>
  </si>
  <si>
    <t>Sociali</t>
  </si>
  <si>
    <t>Mentali</t>
  </si>
  <si>
    <t>Forza</t>
  </si>
  <si>
    <t>Carisma</t>
  </si>
  <si>
    <t>Percezione</t>
  </si>
  <si>
    <t>Destrezza</t>
  </si>
  <si>
    <t>Costituzione</t>
  </si>
  <si>
    <t>Persuasione</t>
  </si>
  <si>
    <t>Aspetto</t>
  </si>
  <si>
    <t>Intelligenza</t>
  </si>
  <si>
    <t>Prontezza</t>
  </si>
  <si>
    <t>Forza di Volontà</t>
  </si>
  <si>
    <t>Abilità</t>
  </si>
  <si>
    <t>Attitudini</t>
  </si>
  <si>
    <t>Atletica</t>
  </si>
  <si>
    <t>Rissa</t>
  </si>
  <si>
    <t>Schivare</t>
  </si>
  <si>
    <t>Empatia</t>
  </si>
  <si>
    <t>Espressività</t>
  </si>
  <si>
    <t>Intimidire</t>
  </si>
  <si>
    <t>Sotterfugio</t>
  </si>
  <si>
    <t>Addestrare Animali</t>
  </si>
  <si>
    <t>Accademiche</t>
  </si>
  <si>
    <t>Autorità</t>
  </si>
  <si>
    <t>Armi da Fuoco</t>
  </si>
  <si>
    <t>Finanza</t>
  </si>
  <si>
    <t>Espressione Artistica</t>
  </si>
  <si>
    <t>Informatica</t>
  </si>
  <si>
    <t>Sesto Senso</t>
  </si>
  <si>
    <t>Furtività</t>
  </si>
  <si>
    <t>Galateo</t>
  </si>
  <si>
    <t>Guidare</t>
  </si>
  <si>
    <t>Manualità</t>
  </si>
  <si>
    <t>Mischia</t>
  </si>
  <si>
    <t>Sicurezza</t>
  </si>
  <si>
    <t>Sopravvivenza</t>
  </si>
  <si>
    <t>Investigare</t>
  </si>
  <si>
    <t>Legge</t>
  </si>
  <si>
    <t>Linguistica</t>
  </si>
  <si>
    <t>Medicina</t>
  </si>
  <si>
    <t>Occulto</t>
  </si>
  <si>
    <t>Politica</t>
  </si>
  <si>
    <t>Scienze</t>
  </si>
  <si>
    <t>Conoscenza d. Strada</t>
  </si>
  <si>
    <t>Capacità</t>
  </si>
  <si>
    <t>Conoscenza</t>
  </si>
  <si>
    <t>Vantaggi</t>
  </si>
  <si>
    <t>Background</t>
  </si>
  <si>
    <t>Discipline</t>
  </si>
  <si>
    <t>Virtù</t>
  </si>
  <si>
    <t>Coscienza/Convinzione</t>
  </si>
  <si>
    <t>Self-Control/Istinto</t>
  </si>
  <si>
    <t>Coraggio</t>
  </si>
  <si>
    <t>Punti</t>
  </si>
  <si>
    <t>Descrizione</t>
  </si>
  <si>
    <t>13th</t>
  </si>
  <si>
    <t>Pregi/Difetti</t>
  </si>
  <si>
    <t>Effetto</t>
  </si>
  <si>
    <t>Scheda Giocatore</t>
  </si>
  <si>
    <t>Umanità/Sentiero</t>
  </si>
  <si>
    <t>Punti Sangue</t>
  </si>
  <si>
    <t>Debolezze</t>
  </si>
  <si>
    <t>Soprannome</t>
  </si>
  <si>
    <t>Affiliazione</t>
  </si>
  <si>
    <t>Linea di sangue</t>
  </si>
  <si>
    <t>Abilità Secondarie</t>
  </si>
  <si>
    <t>Rituali</t>
  </si>
  <si>
    <t>Livello</t>
  </si>
  <si>
    <t>Esperienza</t>
  </si>
  <si>
    <t>Totale speso</t>
  </si>
  <si>
    <t>Da Spendere</t>
  </si>
  <si>
    <t>Legami di Sangue/Vicoli</t>
  </si>
  <si>
    <t>Legato a</t>
  </si>
  <si>
    <t>Motivo</t>
  </si>
  <si>
    <t>Grazia</t>
  </si>
  <si>
    <t>Favori e Debiti</t>
  </si>
  <si>
    <t>Tipo</t>
  </si>
  <si>
    <t>Categoria</t>
  </si>
  <si>
    <t>a Chi/da Chi</t>
  </si>
  <si>
    <t>Stato</t>
  </si>
  <si>
    <t>Data</t>
  </si>
  <si>
    <t>Testimone</t>
  </si>
  <si>
    <t>Note</t>
  </si>
  <si>
    <t>Arma</t>
  </si>
  <si>
    <t>Danno</t>
  </si>
  <si>
    <t>Gittata</t>
  </si>
  <si>
    <t>Cadenza</t>
  </si>
  <si>
    <t>Caricatore</t>
  </si>
  <si>
    <t>Occultamento</t>
  </si>
  <si>
    <t>Armatura</t>
  </si>
  <si>
    <t>AlienazioniMentali</t>
  </si>
  <si>
    <t>Alleati</t>
  </si>
  <si>
    <t>Mentore</t>
  </si>
  <si>
    <t>Contatti</t>
  </si>
  <si>
    <t>Risorse</t>
  </si>
  <si>
    <t>Fama</t>
  </si>
  <si>
    <t>Seguaci</t>
  </si>
  <si>
    <t>Gregge</t>
  </si>
  <si>
    <t>Status</t>
  </si>
  <si>
    <t>Influenza</t>
  </si>
  <si>
    <t>Nota</t>
  </si>
  <si>
    <t>Terreni di caccia</t>
  </si>
  <si>
    <t>Veicoli</t>
  </si>
  <si>
    <t>Attrezzatura</t>
  </si>
  <si>
    <t>Equipaggiamento</t>
  </si>
  <si>
    <t>Posizione</t>
  </si>
  <si>
    <t>Rifugio</t>
  </si>
  <si>
    <t>Storia</t>
  </si>
  <si>
    <t>Età Vampiro</t>
  </si>
  <si>
    <t>Età Apparente</t>
  </si>
  <si>
    <t>Nato il</t>
  </si>
  <si>
    <t>Rip</t>
  </si>
  <si>
    <t>Capelli</t>
  </si>
  <si>
    <t>Occhi</t>
  </si>
  <si>
    <t>Razza</t>
  </si>
  <si>
    <t>Nazionaità</t>
  </si>
  <si>
    <t xml:space="preserve">Altezza </t>
  </si>
  <si>
    <t>Peso</t>
  </si>
  <si>
    <t>Sesso</t>
  </si>
  <si>
    <t>Coterie</t>
  </si>
  <si>
    <t>Storia Importanti</t>
  </si>
  <si>
    <t>Notea</t>
  </si>
  <si>
    <t>Gangrel</t>
  </si>
  <si>
    <t>Sopravvissuto</t>
  </si>
  <si>
    <t>Solitario</t>
  </si>
  <si>
    <t>Giovane fabbro abbracciato senza guida, in bilico tra umanità e istinto bestiale.</t>
  </si>
  <si>
    <t>Principato di Rimini</t>
  </si>
  <si>
    <t>Camarilla</t>
  </si>
  <si>
    <t>Ogni volta che entra in Frenesia, il Gangrel subisce una mutazione bestiale permanente (unghie ricurve, occhi animali, odore selvatico, ecc.). Queste mutazioni si accumulano con il tempo, rendendolo sempre più simile a una bestia.</t>
  </si>
  <si>
    <t>Uomo semplice diventato predatore</t>
  </si>
  <si>
    <t>Animalità</t>
  </si>
  <si>
    <t>Comunicare con gli animali, cani e corvi.</t>
  </si>
  <si>
    <t>Robustezza</t>
  </si>
  <si>
    <t>Resiste ai danni come pietra.</t>
  </si>
  <si>
    <t>Proteide</t>
  </si>
  <si>
    <t>Artigli della bestia, forza +1 danno letale</t>
  </si>
  <si>
    <t>Occhi della bestia, vede nel buoi totale</t>
  </si>
  <si>
    <t>Bonus/Malus</t>
  </si>
  <si>
    <t>Totale</t>
  </si>
  <si>
    <t>-</t>
  </si>
  <si>
    <t>Moto ben nascosto</t>
  </si>
  <si>
    <t>Conoscente alla fabbrica</t>
  </si>
  <si>
    <t>Senso del pericolo</t>
  </si>
  <si>
    <t>Vista Notturna</t>
  </si>
  <si>
    <t>Sopravvisutto nato</t>
  </si>
  <si>
    <t>Lupo Solitario</t>
  </si>
  <si>
    <t>Preda Particolare</t>
  </si>
  <si>
    <t>Sogni Inquieti</t>
  </si>
  <si>
    <t>Avverte minacce istintivamente.</t>
  </si>
  <si>
    <t>Vede chiaramente nel buio.</t>
  </si>
  <si>
    <t>+1 a tiri di Sopravvivenza in natura.</t>
  </si>
  <si>
    <t>Può nutrirsi solo di sangue umano “sano”.</t>
  </si>
  <si>
    <t>Riposa male; si sveglia esausto.</t>
  </si>
  <si>
    <t>Non accetta ordini né squadra facilmente.</t>
  </si>
  <si>
    <t>Iniziativa Prontazza + 1D10 più alto inizia</t>
  </si>
  <si>
    <t>Tiro per colpire</t>
  </si>
  <si>
    <t>Rissa (pugni, artigli, morsi)</t>
  </si>
  <si>
    <t>Mischia (armi da mischia)</t>
  </si>
  <si>
    <t>Armi da fuoco (pistole, fucili)</t>
  </si>
  <si>
    <t>Dado più alto di difficoltà successo</t>
  </si>
  <si>
    <t>1 cancella successi, solo 1 fallimento critico</t>
  </si>
  <si>
    <t>Mischia / Rissa → Forza + modificatore dell’arma + successi extra</t>
  </si>
  <si>
    <t>Armi da fuoco → Valore fisso dell’arma + successi extra</t>
  </si>
  <si>
    <t>Assorbimento</t>
  </si>
  <si>
    <t>Contundente</t>
  </si>
  <si>
    <t>Letale</t>
  </si>
  <si>
    <t>Aggravato</t>
  </si>
  <si>
    <t>Vampiri</t>
  </si>
  <si>
    <t>Cost+Rob.</t>
  </si>
  <si>
    <t>Cost.</t>
  </si>
  <si>
    <t>Rob.</t>
  </si>
  <si>
    <t>Umani</t>
  </si>
  <si>
    <t>Recupero Danni</t>
  </si>
  <si>
    <t>Vampiri 1 Livello/turno di riposo con Sangue</t>
  </si>
  <si>
    <t>Vampiri 1 Livello/giorno di riposo (Sangue)</t>
  </si>
  <si>
    <t>1 Livello/giorno speso 5 Punti Sangue</t>
  </si>
  <si>
    <t>Per Umani a parte il contundente gli altri sono quasi sempre letali.</t>
  </si>
  <si>
    <t>Livelli di salute</t>
  </si>
  <si>
    <t>Contuso</t>
  </si>
  <si>
    <t>Graffiato</t>
  </si>
  <si>
    <t>Leso</t>
  </si>
  <si>
    <t>Ferito</t>
  </si>
  <si>
    <t>Straziato</t>
  </si>
  <si>
    <t>Menomato</t>
  </si>
  <si>
    <t>Incapacitato</t>
  </si>
  <si>
    <t>Dichiarazione dell'azione, Prontazza più basso dichiara</t>
  </si>
  <si>
    <t>Azioni Multiple</t>
  </si>
  <si>
    <t xml:space="preserve">2 azioni </t>
  </si>
  <si>
    <t>3 azioni</t>
  </si>
  <si>
    <t>4 azioni</t>
  </si>
  <si>
    <t>Celerita azione gratuita per ogni punto sangue speso e non da penalità</t>
  </si>
  <si>
    <t>Ottieni +1 all’iniziativa per ogni punto di Celerità posseduto</t>
  </si>
  <si>
    <t>Sui Vampiri il contundente si dimezza per difetto dopo assorbimento</t>
  </si>
  <si>
    <t>Danni - Dadi</t>
  </si>
  <si>
    <r>
      <t xml:space="preserve">Ogni dado ≥6 = un </t>
    </r>
    <r>
      <rPr>
        <b/>
        <sz val="11"/>
        <color theme="1"/>
        <rFont val="Aptos"/>
        <family val="2"/>
      </rPr>
      <t>livello di ferita</t>
    </r>
    <r>
      <rPr>
        <sz val="11"/>
        <color theme="1"/>
        <rFont val="Aptos"/>
        <family val="2"/>
      </rPr>
      <t xml:space="preserve"> inflitto (prima di assorbimento)</t>
    </r>
  </si>
  <si>
    <t>10 / 1</t>
  </si>
  <si>
    <t>Mantenere una azione oltre il proprio turno</t>
  </si>
  <si>
    <t>Successi Tiro del dado</t>
  </si>
  <si>
    <t>Pessimo</t>
  </si>
  <si>
    <t>Scarso</t>
  </si>
  <si>
    <t>Medio</t>
  </si>
  <si>
    <t>Buono</t>
  </si>
  <si>
    <t>Eccezionale</t>
  </si>
  <si>
    <t>Superbo</t>
  </si>
  <si>
    <t>Penalità</t>
  </si>
  <si>
    <t>Fallimento</t>
  </si>
  <si>
    <t>uno</t>
  </si>
  <si>
    <t>Numero massimo di dadi lanciabili è 10</t>
  </si>
  <si>
    <t>Se il numero dei dadi supera o e uguale alla difficoltà</t>
  </si>
  <si>
    <t>Successo automatico</t>
  </si>
  <si>
    <t>Spendendo un punto Volonta</t>
  </si>
  <si>
    <t>Riprovare</t>
  </si>
  <si>
    <t>se fallisce il primo si può riprovare ma con difficolta +1</t>
  </si>
  <si>
    <t>Azione prolungata</t>
  </si>
  <si>
    <t>servono un numero di successi che possono essere fatti nel tempi, un fallimento blocca il tutto</t>
  </si>
  <si>
    <t>Azione Contraposta</t>
  </si>
  <si>
    <t>Si tira i dadi ma la difficoltà è il numero di dai del tiro avversario e vice versa</t>
  </si>
  <si>
    <t>Se tiro sei dadi la difficolta del mio avversario e sei</t>
  </si>
  <si>
    <t>Lavoro di squadra</t>
  </si>
  <si>
    <t>Si tirano i dadi singlarmente e si sommano i successi</t>
  </si>
  <si>
    <t>Camminare 7 metri per turno</t>
  </si>
  <si>
    <t>Correre 12 + Destrezza</t>
  </si>
  <si>
    <t>Scatto 20+Destrezzax3</t>
  </si>
  <si>
    <t>PUNTI LIBERI</t>
  </si>
  <si>
    <t>Caratteristica</t>
  </si>
  <si>
    <t>Costo</t>
  </si>
  <si>
    <t>5 per pallino</t>
  </si>
  <si>
    <t>2 per pallino</t>
  </si>
  <si>
    <t>7 per pallino</t>
  </si>
  <si>
    <t>1 per pallino</t>
  </si>
  <si>
    <t>Umanità</t>
  </si>
  <si>
    <t>Scheda Assegnazione Punti Esperienza</t>
  </si>
  <si>
    <t>Apprendimento</t>
  </si>
  <si>
    <t>Interpretazione</t>
  </si>
  <si>
    <t>Atti Eroici</t>
  </si>
  <si>
    <t>Arianna</t>
  </si>
  <si>
    <t>Matteo</t>
  </si>
  <si>
    <t>Giulia</t>
  </si>
  <si>
    <t>Lorenzo</t>
  </si>
  <si>
    <t>Chiara</t>
  </si>
  <si>
    <t>Vincenzo</t>
  </si>
  <si>
    <t>Obiettivo Raggiunto</t>
  </si>
  <si>
    <t>Pericolo Grave</t>
  </si>
  <si>
    <t>Saggezza/Strategia</t>
  </si>
  <si>
    <t>Personaggi</t>
  </si>
  <si>
    <t>Assegna questo punto se il giocatore ha imparato qualcosa di nuovo (regole, ambientazione, debolezze/altrui, usi della Città) e lo ha messo in pratica al tavolo.</t>
  </si>
  <si>
    <t>Valuta come il giocatore ha interpretato il personaggio: coerenza con Natura/Comportamento, voce, scelte morali, difetti messi in scena.</t>
  </si>
  <si>
    <t>Riconosci gesti coraggiosi o sacrifici significativi a favore della Coterie o della Masquerade, anche se rischiosi o impopolari.</t>
  </si>
  <si>
    <t>Premi quando un personaggio porta a termine un obiettivo concreto (personale): ottenere un contatto, acquisire una risorsa, estorcere un segreto, chiudere una trama.</t>
  </si>
  <si>
    <t>Assegna il punto se il personaggio è sopravvissuto a una minaccia seria. Vale anche per scontri sociali ad alta posta, come trattare con un PNG potente e uscirne vivo e indenne (o quasi).</t>
  </si>
  <si>
    <t>PT.</t>
  </si>
  <si>
    <t>Masquerade</t>
  </si>
  <si>
    <t>Assegna 1 punto se il giocatore si è comportato secondo le Tradizioni della Masquerade quando rischiava di essere scoperto oppure ha aiutato a evitare l’esposizione dei vampiri.</t>
  </si>
  <si>
    <t>Voce</t>
  </si>
  <si>
    <t>Personale</t>
  </si>
  <si>
    <t>Un punto a chi preferisci, anche solo per simpatia.</t>
  </si>
  <si>
    <t>Il giocatore ha ideato piani o mosse che hanno fatto la differenza (tattiche, preparazione, coperture, uso creativo di Discipline o contatti) e hanno aiutato la Coterie a sopravvivere o prosperare.</t>
  </si>
  <si>
    <t>0/5</t>
  </si>
  <si>
    <t>Combattimento</t>
  </si>
  <si>
    <t>Difese reattive (tiro contro l’attacco)</t>
  </si>
  <si>
    <t>Danni e Assorbire (Soak)</t>
  </si>
  <si>
    <t>Azioni fisiche</t>
  </si>
  <si>
    <t>Azioni sociali</t>
  </si>
  <si>
    <t>Indagine / Tecnico</t>
  </si>
  <si>
    <t>Virtù, Umanità, Volontà</t>
  </si>
  <si>
    <t>Discipline (promemoria operativo)</t>
  </si>
  <si>
    <t>Modificatori comuni (rapidi)</t>
  </si>
  <si>
    <t>Iniziativa – Destrezza + Prontezza + d10</t>
  </si>
  <si>
    <t>Più alto agisce per primo. Celerità dà azioni extra; l’ordine base resta questo.</t>
  </si>
  <si>
    <t>Attacco: Pugni/Calci (Rissa) – Destrezza + Rissa — Diff 6</t>
  </si>
  <si>
    <t>Difese del bersaglio: Schivare, Blocco (vs Rissa), Parata (se ha arma).</t>
  </si>
  <si>
    <t>Danni: Forza (+ eventuale manovra). Tipo: Contundente.</t>
  </si>
  <si>
    <t>Attacco: Armi da mischia (Mischia) – Destrezza + Mischia — Diff 6–7</t>
  </si>
  <si>
    <t>Difese del bersaglio: Schivare o Parata.</t>
  </si>
  <si>
    <t>Danni: Forza + danno arma. Tipo: in genere Letale (bastoni possono restare Cont.).</t>
  </si>
  <si>
    <t>Attacco: Pistola piccola (Armi da Fuoco) – Destrezza + Armi da Fuoco — Diff 6 (corta) / 7 (media) / 8 (lunga)</t>
  </si>
  <si>
    <t>Difese del bersaglio: Schivare (contro il tiro dell’attaccante); copertura, luce, movimento applicano modificatori.</t>
  </si>
  <si>
    <t>Danni: come da arma (Letale). Mira 1 turno: +1 dado (cumulabile, a discrezione del Narratore).</t>
  </si>
  <si>
    <t>Colpo mirato – come attacco, +1–3 diff (a seconda della parte) – effetti speciali a discrezione.</t>
  </si>
  <si>
    <t>Presa (agganciare) – Destrezza + Rissa — Diff 6, opposto a Destrezza + Rissa</t>
  </si>
  <si>
    <t>In presa: contestazioni Forza + Rissa per immobilizzare/danni/strappare.</t>
  </si>
  <si>
    <t>Disarmo – Destrezza + Mischia — +1–2 diff – contro arma del bersaglio (opposto a Destrezza + Mischia).</t>
  </si>
  <si>
    <t>Schivare – Destrezza + Schivare — Diff = tiro dell’attaccante</t>
  </si>
  <si>
    <t>Ogni successo del difensore annulla un successo dell’attaccante.</t>
  </si>
  <si>
    <t>Usabile contro Rissa, Mischia e Fuoco (a distanza).</t>
  </si>
  <si>
    <t>Blocco (solo vs Rissa) – Destrezza + Rissa — Opposto al tiro d’attacco</t>
  </si>
  <si>
    <t>Valido solo contro attacchi a mani nude/prese.</t>
  </si>
  <si>
    <t>Parata (contro Mischia) – Destrezza + Mischia — Opposto al tiro d’attacco</t>
  </si>
  <si>
    <t>Richiede arma/oggetto adeguato.</t>
  </si>
  <si>
    <t>Nota: dichiarare difese multiple nello stesso turno può dare penalità cumulative (a discrezione del Narratore/allineamento alla tua tavola).</t>
  </si>
  <si>
    <t>Contundente/Letale – Costituzione (+ Armatura) — Diff 6</t>
  </si>
  <si>
    <t>I vampiri assorbono Contundente e Letale con Costituzione.</t>
  </si>
  <si>
    <t>L’Armatura aggiunge dadi (o riduce danno, secondo il tuo libro; usa una sola variante).</t>
  </si>
  <si>
    <t>Aggravato – Robustezza (Fortitude) (+ eventuale protezione soprannaturale) — Diff 6</t>
  </si>
  <si>
    <t>Senza Fortitude, in genere non si assorbe Aggravato.</t>
  </si>
  <si>
    <t>Correre/Atletica – Destrezza o Forza + Atletica — Diff 6–7</t>
  </si>
  <si>
    <t>Arrampicarsi – Forza + Atletica — Diff 6–8</t>
  </si>
  <si>
    <t>Muoversi Silenziosamente – Destrezza + Furtività — Diff 6–8 — Opposto a Percezione + Allerta</t>
  </si>
  <si>
    <t>Nascondersi – Destrezza + Furtività — Diff 6–8 — Opposto a Percezione + Allerta</t>
  </si>
  <si>
    <t>Percepire minacce – Percezione + Allerta — Diff 6</t>
  </si>
  <si>
    <t>Inseguimenti veicolari – Destrezza + Guida — Diff 6–8 — Opposto a Destrezza + Guida</t>
  </si>
  <si>
    <t>Intimidire – Forza o Carisma + Intimidazione — Diff 6–8</t>
  </si>
  <si>
    <t>Resistenza: Forza di Volontà del bersaglio o sangue freddo (a discrezione).</t>
  </si>
  <si>
    <t>Persuadere/Convincere – Carisma o Manipolazione + Espressione/Leadership — Diff 6–8</t>
  </si>
  <si>
    <t>Resistenza: Intelligenza o Forza di Volontà del bersaglio (in base alla situazione).</t>
  </si>
  <si>
    <t>Mentire/Raggirare – Prontezza o Manipolazione + Sotterfugio — Diff 6–8</t>
  </si>
  <si>
    <t>Opposto a Percezione + Empatia dell’interlocutore.</t>
  </si>
  <si>
    <t>Etichetta/Elysium – Carisma + Galateo (Etichetta) — Diff 6</t>
  </si>
  <si>
    <t>Comandare in crisi – Carisma + Leadership — Diff 6–7</t>
  </si>
  <si>
    <t>Osservare dettagli – Percezione + Investigazione — Diff 6–8</t>
  </si>
  <si>
    <t>Scassinare (fisico) – Destrezza + Sicurezza — Diff 6–8</t>
  </si>
  <si>
    <t>Allarmi/Impianti – Intelligenza + Sicurezza — Diff 6–8</t>
  </si>
  <si>
    <t>Ricerca digitale/OSINT – Intelligenza + Informatica — Diff 6–7</t>
  </si>
  <si>
    <t>Medicina di base – Intelligenza + Medicina — Diff 6–7</t>
  </si>
  <si>
    <t>Occultismo – Intelligenza + Occultismo — Diff 6–8</t>
  </si>
  <si>
    <t>Sopravvivenza – Percezione o Intelligenza + Sopravvivenza — Diff 6–7</t>
  </si>
  <si>
    <t>Resistere alla Frenesia – Autocontrollo (o Istinto) — Diff 5–9</t>
  </si>
  <si>
    <t>Resistere al Rötschreck – Coraggio — Diff 5–9</t>
  </si>
  <si>
    <t>Rimorso / Perdite di Umanità – Coscienza (o Convinzione) — Diff variabile</t>
  </si>
  <si>
    <t>Forza di Volontà (spesa) – spendi 1 FV per 1 successo automatico su un tiro (max 1/turno).</t>
  </si>
  <si>
    <t>Celerità – azioni extra (pagate in Sangue) per turno; risoluzione extra a fine turno.</t>
  </si>
  <si>
    <t>Potenza – aumenta i danni negli attacchi basati su Forza.</t>
  </si>
  <si>
    <t>Robustezza (Fortitude) – aggiunge dadi al Soak; permette assorbire Letale/Aggravato.</t>
  </si>
  <si>
    <t>Auspex – bonus/percezioni avanzate; può opporsi a Oscurazione.</t>
  </si>
  <si>
    <t>Oscurazione – occultamento; interazioni specifiche con Auspex secondo i livelli.</t>
  </si>
  <si>
    <t>Dominazione – tipicamente Manipolazione + Leadership/Intimidazione vs Forza di Volontà del bersaglio (dipende dal potere).</t>
  </si>
  <si>
    <t>Presenza – Carisma + Empatia vs Forza di Volontà (variabile per potere/effects).</t>
  </si>
  <si>
    <t>Luce scarsa/abbagliante: ±1 diff.</t>
  </si>
  <si>
    <t>Copertura parziale/piena (armi da fuoco): –1/–2 dadi all’attaccante o +1/+2 diff.</t>
  </si>
  <si>
    <t>Bersaglio in corsa/schiacciato: +1 diff all’attaccante.</t>
  </si>
  <si>
    <t>Ambiente difficile (pioggia, tetti bagnati): +1–2 diff a tiri fisici.</t>
  </si>
  <si>
    <t>Mirare 1+ turno: +1 dado/turno (limite ragionevole).</t>
  </si>
  <si>
    <t>Azioni multiple nello stesso turno: penalty cumulativo a discrezione (mantieni coerenza con il tuo tavolo).</t>
  </si>
  <si>
    <t>__________</t>
  </si>
  <si>
    <t>La colonna “Punti” indica quanti punti potete assegnare; è possibile anche non assegnarne, lasciare la riga vuota.</t>
  </si>
  <si>
    <t>Al massimo un punto per personaggio. Il massimo dei punti per un personaggio è 5</t>
  </si>
  <si>
    <t>Non si possono attribuire punti al proprio personaggio. Il narratore ha sempre l'ultima parola.</t>
  </si>
  <si>
    <t>Utilizzo di Attributi, Abilità, Discipline</t>
  </si>
  <si>
    <t>Animalismo</t>
  </si>
  <si>
    <t>Auspex</t>
  </si>
  <si>
    <t>Celerità</t>
  </si>
  <si>
    <t>Dominazione</t>
  </si>
  <si>
    <t>Presenza</t>
  </si>
  <si>
    <t>Taumaturgia</t>
  </si>
  <si>
    <t>Necromanzia</t>
  </si>
  <si>
    <t>Obtenebrazione</t>
  </si>
  <si>
    <t>Quietus</t>
  </si>
  <si>
    <t>Serpentis</t>
  </si>
  <si>
    <t>Vicissitudine</t>
  </si>
  <si>
    <t>Oscurazione</t>
  </si>
  <si>
    <t>Potenza</t>
  </si>
  <si>
    <t>Chimerismo</t>
  </si>
  <si>
    <t>Dementazione</t>
  </si>
  <si>
    <t>Diff</t>
  </si>
  <si>
    <t>Dadi</t>
  </si>
  <si>
    <t>Lancio</t>
  </si>
  <si>
    <t>Risul.</t>
  </si>
  <si>
    <t>DADI</t>
  </si>
  <si>
    <t>DIFF</t>
  </si>
  <si>
    <t>Società di Leopoldo</t>
  </si>
  <si>
    <t>Inquisitori</t>
  </si>
  <si>
    <t>Metodo Torquemada</t>
  </si>
  <si>
    <t>Stripe di Satana</t>
  </si>
  <si>
    <t>Altro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</si>
</sst>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1"/>
      <color theme="1"/>
      <name val="Aptos Narrow"/>
      <family val="2"/>
      <scheme val="minor"/>
    </font>
    <font>
      <sz val="11"/>
      <color theme="1"/>
      <name val="Bahnschrift Condensed"/>
      <family val="2"/>
    </font>
    <font>
      <b/>
      <sz val="14"/>
      <color theme="1"/>
      <name val="Bahnschrift Condensed"/>
      <family val="2"/>
    </font>
    <font>
      <b/>
      <sz val="11"/>
      <color theme="1"/>
      <name val="Bahnschrift Condensed"/>
      <family val="2"/>
    </font>
    <font>
      <sz val="14"/>
      <color theme="1"/>
      <name val="Bahnschrift Condensed"/>
      <family val="2"/>
    </font>
    <font>
      <sz val="9"/>
      <color theme="1"/>
      <name val="Bahnschrift Condensed"/>
      <family val="2"/>
    </font>
    <font>
      <i/>
      <sz val="11"/>
      <color theme="1"/>
      <name val="Bahnschrift Condensed"/>
      <family val="2"/>
    </font>
    <font>
      <i/>
      <sz val="9"/>
      <color theme="1"/>
      <name val="Bahnschrift Condensed"/>
      <family val="2"/>
    </font>
    <font>
      <sz val="11"/>
      <color theme="1"/>
      <name val="Aptos"/>
      <family val="2"/>
    </font>
    <font>
      <b/>
      <sz val="11"/>
      <color theme="1"/>
      <name val="Aptos"/>
      <family val="2"/>
    </font>
    <font>
      <sz val="14"/>
      <color theme="1"/>
      <name val="Aptos Narrow"/>
      <family val="2"/>
      <scheme val="minor"/>
    </font>
    <font>
      <sz val="8"/>
      <name val="Aptos Narrow"/>
      <family val="2"/>
      <scheme val="minor"/>
    </font>
    <font>
      <b/>
      <sz val="16"/>
      <color theme="1"/>
      <name val="Bahnschrift SemiBold"/>
      <family val="2"/>
    </font>
    <font>
      <b/>
      <sz val="11"/>
      <color theme="1"/>
      <name val="Consolas"/>
      <family val="3"/>
    </font>
    <font>
      <b/>
      <sz val="14"/>
      <color theme="1"/>
      <name val="Bahnschrift SemiBold"/>
      <family val="2"/>
    </font>
    <font>
      <sz val="14"/>
      <color theme="1"/>
      <name val="Bahnschrift SemiBold"/>
      <family val="2"/>
    </font>
    <font>
      <sz val="12"/>
      <color theme="1"/>
      <name val="Segoe UI Variable Small Semilig"/>
    </font>
    <font>
      <sz val="11"/>
      <color theme="1"/>
      <name val="Bahnschrift SemiBold"/>
      <family val="2"/>
    </font>
    <font>
      <sz val="11"/>
      <color theme="1"/>
      <name val="Segoe UI Variable Small Semilig"/>
    </font>
    <font>
      <sz val="10"/>
      <color theme="1"/>
      <name val="Segoe UI Variable Small Semilig"/>
    </font>
    <font>
      <sz val="9"/>
      <color theme="1"/>
      <name val="Segoe UI Variable Small Semilig"/>
    </font>
    <font>
      <i/>
      <sz val="10"/>
      <color theme="1"/>
      <name val="Segoe UI Variable Small Semilig"/>
    </font>
    <font>
      <sz val="12"/>
      <color theme="5" tint="-0.249977111117893"/>
      <name val="Segoe UI Variable Small Semilig"/>
    </font>
    <font>
      <sz val="12"/>
      <color theme="7" tint="-0.249977111117893"/>
      <name val="Segoe UI Variable Small Semilig"/>
    </font>
    <font>
      <i/>
      <sz val="12"/>
      <color theme="8" tint="-0.249977111117893"/>
      <name val="Segoe UI Variable Small Semilig"/>
    </font>
    <font>
      <b/>
      <sz val="11"/>
      <color theme="1"/>
      <name val="Segoe UI"/>
      <family val="2"/>
    </font>
    <font>
      <sz val="11"/>
      <color theme="1"/>
      <name val="Segoe UI"/>
      <family val="2"/>
    </font>
    <font>
      <b/>
      <sz val="12"/>
      <color theme="1"/>
      <name val="Segoe UI"/>
      <family val="2"/>
    </font>
    <font>
      <b/>
      <sz val="11"/>
      <color theme="1"/>
      <name val="Segoe UI Variable Small Semilig"/>
    </font>
    <font>
      <b/>
      <sz val="14"/>
      <name val="Consolas"/>
      <family val="3"/>
    </font>
    <font>
      <sz val="11"/>
      <color theme="1"/>
      <name val="Consolas"/>
      <family val="3"/>
    </font>
    <font>
      <sz val="9"/>
      <color theme="1"/>
      <name val="Consolas"/>
      <family val="3"/>
    </font>
    <font>
      <sz val="14"/>
      <color theme="1"/>
      <name val="Consolas"/>
      <family val="3"/>
    </font>
    <font>
      <b/>
      <sz val="12"/>
      <color theme="1"/>
      <name val="Consolas"/>
      <family val="3"/>
    </font>
    <font>
      <b/>
      <sz val="16"/>
      <color theme="1"/>
      <name val="Consolas"/>
      <family val="3"/>
    </font>
    <font>
      <b/>
      <sz val="14"/>
      <color theme="1"/>
      <name val="Consolas"/>
      <family val="3"/>
    </font>
    <font>
      <b/>
      <sz val="11"/>
      <color rgb="FFFF0000"/>
      <name val="Consolas"/>
      <family val="3"/>
    </font>
  </fonts>
  <fills count="4">
    <fill>
      <patternFill patternType="none"/>
    </fill>
    <fill>
      <patternFill patternType="gray125"/>
    </fill>
    <fill>
      <patternFill patternType="solid">
        <fgColor theme="2" tint="-0.249977111117893"/>
        <bgColor indexed="64"/>
      </patternFill>
    </fill>
    <fill>
      <patternFill patternType="solid">
        <fgColor theme="9" tint="0.79998168889431442"/>
        <bgColor indexed="64"/>
      </patternFill>
    </fill>
  </fills>
  <borders count="12">
    <border>
      <left/>
      <right/>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top style="thin">
        <color auto="1"/>
      </top>
      <bottom/>
      <diagonal/>
    </border>
    <border>
      <left/>
      <right/>
      <top style="thin">
        <color indexed="64"/>
      </top>
      <bottom/>
      <diagonal/>
    </border>
    <border>
      <left/>
      <right/>
      <top/>
      <bottom style="thin">
        <color indexed="64"/>
      </bottom>
      <diagonal/>
    </border>
    <border>
      <left style="dashDot">
        <color indexed="64"/>
      </left>
      <right style="dashDot">
        <color indexed="64"/>
      </right>
      <top style="dashDot">
        <color indexed="64"/>
      </top>
      <bottom style="dashDot">
        <color indexed="64"/>
      </bottom>
      <diagonal/>
    </border>
    <border>
      <left/>
      <right/>
      <top/>
      <bottom style="dashDot">
        <color indexed="64"/>
      </bottom>
      <diagonal/>
    </border>
    <border>
      <left/>
      <right/>
      <top style="dashDot">
        <color indexed="64"/>
      </top>
      <bottom style="dashDot">
        <color indexed="64"/>
      </bottom>
      <diagonal/>
    </border>
  </borders>
  <cellStyleXfs count="1">
    <xf numFmtId="0" fontId="0" fillId="0" borderId="0"/>
  </cellStyleXfs>
  <cellXfs count="86">
    <xf numFmtId="0" fontId="0" fillId="0" borderId="0" xfId="0"/>
    <xf numFmtId="0" fontId="8" fillId="0" borderId="0" xfId="0" applyFont="1"/>
    <xf numFmtId="0" fontId="6" fillId="0" borderId="0" xfId="0" applyFont="1" applyAlignment="1">
      <alignment horizontal="left" vertical="top"/>
    </xf>
    <xf numFmtId="0" fontId="1" fillId="0" borderId="0" xfId="0" applyFont="1" applyAlignment="1">
      <alignment horizontal="left" vertical="top"/>
    </xf>
    <xf numFmtId="0" fontId="1" fillId="0" borderId="0" xfId="0" applyFont="1" applyAlignment="1">
      <alignment horizontal="center" vertical="top"/>
    </xf>
    <xf numFmtId="0" fontId="5" fillId="0" borderId="0" xfId="0" applyFont="1" applyAlignment="1">
      <alignment horizontal="left" vertical="top"/>
    </xf>
    <xf numFmtId="0" fontId="5" fillId="0" borderId="0" xfId="0" quotePrefix="1" applyFont="1" applyAlignment="1">
      <alignment horizontal="left" vertical="top"/>
    </xf>
    <xf numFmtId="0" fontId="7" fillId="0" borderId="0" xfId="0" applyFont="1" applyAlignment="1">
      <alignment horizontal="center" vertical="top"/>
    </xf>
    <xf numFmtId="0" fontId="8" fillId="0" borderId="0" xfId="0" applyFont="1" applyAlignment="1">
      <alignment horizontal="center"/>
    </xf>
    <xf numFmtId="0" fontId="9" fillId="0" borderId="0" xfId="0" applyFont="1"/>
    <xf numFmtId="0" fontId="4" fillId="0" borderId="0" xfId="0" applyFont="1" applyAlignment="1">
      <alignment horizontal="left" vertical="top"/>
    </xf>
    <xf numFmtId="0" fontId="1" fillId="0" borderId="0" xfId="0" applyFont="1" applyAlignment="1">
      <alignment vertical="top"/>
    </xf>
    <xf numFmtId="0" fontId="6" fillId="0" borderId="0" xfId="0" applyFont="1" applyAlignment="1">
      <alignment vertical="top"/>
    </xf>
    <xf numFmtId="0" fontId="6" fillId="0" borderId="0" xfId="0" applyFont="1" applyAlignment="1">
      <alignment horizontal="right" vertical="top"/>
    </xf>
    <xf numFmtId="0" fontId="1" fillId="0" borderId="1" xfId="0" applyFont="1" applyBorder="1" applyAlignment="1">
      <alignment vertical="top"/>
    </xf>
    <xf numFmtId="0" fontId="1" fillId="0" borderId="2" xfId="0" applyFont="1" applyBorder="1" applyAlignment="1">
      <alignment vertical="top"/>
    </xf>
    <xf numFmtId="0" fontId="2" fillId="0" borderId="0" xfId="0" applyFont="1" applyAlignment="1">
      <alignment horizontal="center" vertical="top"/>
    </xf>
    <xf numFmtId="0" fontId="3" fillId="0" borderId="0" xfId="0" applyFont="1" applyAlignment="1">
      <alignment horizontal="center" vertical="top"/>
    </xf>
    <xf numFmtId="0" fontId="3" fillId="0" borderId="0" xfId="0" applyFont="1" applyAlignment="1">
      <alignment vertical="top"/>
    </xf>
    <xf numFmtId="0" fontId="1" fillId="0" borderId="1" xfId="0" applyFont="1" applyBorder="1" applyAlignment="1">
      <alignment horizontal="left" vertical="top"/>
    </xf>
    <xf numFmtId="0" fontId="5" fillId="0" borderId="0" xfId="0" applyFont="1" applyAlignment="1">
      <alignment horizontal="center" vertical="top"/>
    </xf>
    <xf numFmtId="0" fontId="5" fillId="0" borderId="0" xfId="0" applyFont="1" applyAlignment="1">
      <alignment vertical="top"/>
    </xf>
    <xf numFmtId="0" fontId="1" fillId="0" borderId="3" xfId="0" applyFont="1" applyBorder="1" applyAlignment="1">
      <alignment vertical="top"/>
    </xf>
    <xf numFmtId="0" fontId="1" fillId="0" borderId="5" xfId="0" applyFont="1" applyBorder="1" applyAlignment="1">
      <alignment vertical="top"/>
    </xf>
    <xf numFmtId="0" fontId="4" fillId="0" borderId="0" xfId="0" applyFont="1" applyAlignment="1">
      <alignment horizontal="center" vertical="top"/>
    </xf>
    <xf numFmtId="0" fontId="1" fillId="0" borderId="6" xfId="0" applyFont="1" applyBorder="1" applyAlignment="1">
      <alignment vertical="top"/>
    </xf>
    <xf numFmtId="0" fontId="1" fillId="0" borderId="7" xfId="0" applyFont="1" applyBorder="1" applyAlignment="1">
      <alignment vertical="top"/>
    </xf>
    <xf numFmtId="0" fontId="1" fillId="0" borderId="5" xfId="0" applyFont="1" applyBorder="1" applyAlignment="1">
      <alignment horizontal="center" vertical="top"/>
    </xf>
    <xf numFmtId="0" fontId="1" fillId="0" borderId="2" xfId="0" applyFont="1" applyBorder="1" applyAlignment="1">
      <alignment horizontal="center" vertical="top"/>
    </xf>
    <xf numFmtId="0" fontId="1" fillId="0" borderId="4" xfId="0" applyFont="1" applyBorder="1" applyAlignment="1">
      <alignment vertical="top"/>
    </xf>
    <xf numFmtId="0" fontId="1" fillId="0" borderId="8" xfId="0" applyFont="1" applyBorder="1" applyAlignment="1">
      <alignment vertical="top"/>
    </xf>
    <xf numFmtId="0" fontId="1" fillId="0" borderId="3" xfId="0" applyFont="1" applyBorder="1" applyAlignment="1">
      <alignment horizontal="center" vertical="top"/>
    </xf>
    <xf numFmtId="0" fontId="3" fillId="0" borderId="0" xfId="0" applyFont="1" applyAlignment="1">
      <alignment horizontal="left" vertical="top"/>
    </xf>
    <xf numFmtId="49" fontId="1" fillId="0" borderId="0" xfId="0" applyNumberFormat="1" applyFont="1" applyAlignment="1">
      <alignment horizontal="center" vertical="top"/>
    </xf>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left" vertical="center"/>
    </xf>
    <xf numFmtId="49" fontId="13" fillId="0" borderId="0" xfId="0" applyNumberFormat="1" applyFont="1" applyAlignment="1">
      <alignment horizontal="center" vertical="center"/>
    </xf>
    <xf numFmtId="0" fontId="15" fillId="0" borderId="0" xfId="0" applyFont="1" applyAlignment="1">
      <alignment vertical="center"/>
    </xf>
    <xf numFmtId="0" fontId="16" fillId="0" borderId="0" xfId="0" applyFont="1" applyAlignment="1">
      <alignment horizontal="left" vertical="center"/>
    </xf>
    <xf numFmtId="0" fontId="19" fillId="0" borderId="0" xfId="0" applyFont="1" applyAlignment="1">
      <alignment horizontal="center" vertical="center"/>
    </xf>
    <xf numFmtId="0" fontId="21" fillId="0" borderId="0" xfId="0" applyFont="1" applyAlignment="1">
      <alignment horizontal="left" vertical="center"/>
    </xf>
    <xf numFmtId="0" fontId="20" fillId="0" borderId="0" xfId="0" applyFont="1"/>
    <xf numFmtId="0" fontId="22" fillId="0" borderId="0" xfId="0" applyFont="1" applyAlignment="1">
      <alignment vertical="center"/>
    </xf>
    <xf numFmtId="0" fontId="22" fillId="0" borderId="0" xfId="0" applyFont="1" applyAlignment="1">
      <alignment horizontal="left" vertical="center"/>
    </xf>
    <xf numFmtId="0" fontId="23" fillId="0" borderId="0" xfId="0" applyFont="1" applyAlignment="1">
      <alignment horizontal="left" vertical="center"/>
    </xf>
    <xf numFmtId="0" fontId="24" fillId="0" borderId="0" xfId="0" applyFont="1" applyAlignment="1">
      <alignment horizontal="left" vertical="center"/>
    </xf>
    <xf numFmtId="0" fontId="17" fillId="0" borderId="0" xfId="0" applyFont="1" applyAlignment="1">
      <alignment horizontal="center" vertical="center"/>
    </xf>
    <xf numFmtId="0" fontId="0" fillId="0" borderId="0" xfId="0" applyAlignment="1">
      <alignment horizontal="center" vertical="center"/>
      <extLst>
        <ext xmlns:xfpb="http://schemas.microsoft.com/office/spreadsheetml/2022/featurepropertybag" uri="{C7286773-470A-42A8-94C5-96B5CB345126}">
          <xfpb:xfComplement i="0"/>
        </ext>
      </extLst>
    </xf>
    <xf numFmtId="0" fontId="13" fillId="0" borderId="0" xfId="0" applyFont="1" applyAlignment="1">
      <alignment horizontal="center" vertical="center"/>
    </xf>
    <xf numFmtId="0" fontId="26" fillId="0" borderId="0" xfId="0" applyFont="1"/>
    <xf numFmtId="0" fontId="25" fillId="0" borderId="0" xfId="0" applyFont="1" applyAlignment="1">
      <alignment wrapText="1"/>
    </xf>
    <xf numFmtId="0" fontId="26" fillId="0" borderId="0" xfId="0" applyFont="1" applyAlignment="1">
      <alignment wrapText="1"/>
    </xf>
    <xf numFmtId="0" fontId="25" fillId="0" borderId="0" xfId="0" applyFont="1"/>
    <xf numFmtId="0" fontId="27" fillId="0" borderId="0" xfId="0" applyFont="1"/>
    <xf numFmtId="0" fontId="14" fillId="0" borderId="0" xfId="0" applyFont="1" applyAlignment="1">
      <alignment horizontal="center" vertical="center"/>
    </xf>
    <xf numFmtId="0" fontId="15" fillId="0" borderId="0" xfId="0" applyFont="1" applyAlignment="1">
      <alignment horizontal="center" vertical="center"/>
    </xf>
    <xf numFmtId="0" fontId="12" fillId="0" borderId="0" xfId="0" applyFont="1" applyAlignment="1">
      <alignment horizontal="center" vertical="center"/>
    </xf>
    <xf numFmtId="0" fontId="10" fillId="2" borderId="0" xfId="0" applyFont="1" applyFill="1"/>
    <xf numFmtId="0" fontId="10" fillId="2" borderId="0" xfId="0" applyFont="1" applyFill="1" applyAlignment="1">
      <alignment horizontal="center"/>
    </xf>
    <xf numFmtId="0" fontId="0" fillId="2" borderId="0" xfId="0" applyFill="1"/>
    <xf numFmtId="0" fontId="10" fillId="0" borderId="0" xfId="0" applyFont="1"/>
    <xf numFmtId="0" fontId="12" fillId="0" borderId="0" xfId="0" applyFont="1" applyAlignment="1">
      <alignment vertical="center"/>
    </xf>
    <xf numFmtId="0" fontId="18" fillId="0" borderId="0" xfId="0" applyFont="1"/>
    <xf numFmtId="0" fontId="18" fillId="0" borderId="0" xfId="0" applyFont="1" applyAlignment="1">
      <alignment horizontal="left" vertical="top"/>
    </xf>
    <xf numFmtId="0" fontId="1" fillId="0" borderId="9" xfId="0" applyFont="1" applyBorder="1" applyAlignment="1">
      <alignment vertical="top"/>
    </xf>
    <xf numFmtId="0" fontId="1" fillId="0" borderId="9" xfId="0" applyFont="1" applyBorder="1" applyAlignment="1">
      <alignment horizontal="center" vertical="top"/>
    </xf>
    <xf numFmtId="0" fontId="0" fillId="0" borderId="9" xfId="0" applyBorder="1"/>
    <xf numFmtId="0" fontId="18" fillId="0" borderId="10" xfId="0" applyFont="1" applyBorder="1" applyAlignment="1">
      <alignment horizontal="left" vertical="top"/>
    </xf>
    <xf numFmtId="0" fontId="0" fillId="0" borderId="11" xfId="0" applyBorder="1"/>
    <xf numFmtId="0" fontId="18" fillId="0" borderId="11" xfId="0" applyFont="1" applyBorder="1" applyAlignment="1">
      <alignment horizontal="left" vertical="top"/>
    </xf>
    <xf numFmtId="0" fontId="28" fillId="0" borderId="0" xfId="0" applyFont="1"/>
    <xf numFmtId="0" fontId="29" fillId="0" borderId="0" xfId="0" applyFont="1" applyAlignment="1">
      <alignment horizontal="center" vertical="center" wrapText="1"/>
    </xf>
    <xf numFmtId="0" fontId="30" fillId="0" borderId="0" xfId="0" applyFont="1"/>
    <xf numFmtId="0" fontId="30" fillId="0" borderId="0" xfId="0" applyFont="1" applyAlignment="1">
      <alignment horizontal="center" vertical="center"/>
    </xf>
    <xf numFmtId="0" fontId="30" fillId="0" borderId="0" xfId="0" applyFont="1" applyAlignment="1">
      <alignment vertical="center"/>
    </xf>
    <xf numFmtId="0" fontId="32" fillId="0" borderId="0" xfId="0" applyFont="1" applyAlignment="1">
      <alignment horizontal="center" vertical="center"/>
    </xf>
    <xf numFmtId="0" fontId="34" fillId="0" borderId="0" xfId="0" applyFont="1" applyAlignment="1">
      <alignment horizontal="center" vertical="center"/>
    </xf>
    <xf numFmtId="0" fontId="33" fillId="0" borderId="0" xfId="0" applyFont="1" applyAlignment="1">
      <alignment horizontal="center" vertical="center"/>
    </xf>
    <xf numFmtId="0" fontId="35" fillId="0" borderId="0" xfId="0" applyFont="1" applyAlignment="1">
      <alignment horizontal="center" vertical="center"/>
    </xf>
    <xf numFmtId="0" fontId="36" fillId="0" borderId="0" xfId="0" applyFont="1" applyAlignment="1">
      <alignment horizontal="center" vertical="center"/>
    </xf>
    <xf numFmtId="0" fontId="31" fillId="3" borderId="0" xfId="0" applyFont="1" applyFill="1" applyAlignment="1">
      <alignment horizontal="center" vertical="center"/>
    </xf>
    <xf numFmtId="0" fontId="1" fillId="0" borderId="0" xfId="0" applyFont="1" applyAlignment="1">
      <alignment horizontal="left" vertical="top" wrapText="1"/>
    </xf>
    <xf numFmtId="0" fontId="19" fillId="0" borderId="0" xfId="0" applyFont="1" applyAlignment="1">
      <alignment horizontal="left" vertical="center" wrapText="1"/>
    </xf>
    <xf numFmtId="0" fontId="12" fillId="0" borderId="0" xfId="0" applyFont="1" applyAlignment="1">
      <alignment horizontal="center" vertical="center"/>
    </xf>
  </cellXfs>
  <cellStyles count="1">
    <cellStyle name="Normale" xfId="0" builtinId="0"/>
  </cellStyles>
  <dxfs count="8">
    <dxf>
      <font>
        <color rgb="FF9C0006"/>
      </font>
      <fill>
        <patternFill>
          <bgColor rgb="FFFFC7CE"/>
        </patternFill>
      </fill>
    </dxf>
    <dxf>
      <font>
        <color theme="0"/>
      </font>
      <fill>
        <patternFill>
          <bgColor theme="9" tint="-0.499984740745262"/>
        </patternFill>
      </fill>
    </dxf>
    <dxf>
      <font>
        <color rgb="FF9C5700"/>
      </font>
      <fill>
        <patternFill>
          <bgColor rgb="FFFFEB9C"/>
        </patternFill>
      </fill>
    </dxf>
    <dxf>
      <font>
        <color theme="0"/>
      </font>
      <fill>
        <patternFill>
          <bgColor theme="9" tint="-0.24994659260841701"/>
        </patternFill>
      </fill>
    </dxf>
    <dxf>
      <font>
        <color theme="1"/>
      </font>
      <fill>
        <patternFill>
          <bgColor theme="9" tint="0.39994506668294322"/>
        </patternFill>
      </fill>
    </dxf>
    <dxf>
      <font>
        <color theme="1"/>
      </font>
      <fill>
        <patternFill>
          <bgColor theme="9" tint="0.59996337778862885"/>
        </patternFill>
      </fill>
    </dxf>
    <dxf>
      <font>
        <color theme="1"/>
      </font>
      <fill>
        <patternFill>
          <bgColor theme="9" tint="0.79998168889431442"/>
        </patternFill>
      </fill>
    </dxf>
    <dxf>
      <font>
        <b/>
        <i val="0"/>
        <color theme="1"/>
      </font>
      <fill>
        <patternFill>
          <bgColor theme="8"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7E437-885A-4324-9E14-3FC479EC2837}">
  <sheetPr codeName="Foglio1"/>
  <dimension ref="B1:N23"/>
  <sheetViews>
    <sheetView zoomScale="130" zoomScaleNormal="130" workbookViewId="0">
      <selection activeCell="D26" sqref="D26"/>
    </sheetView>
  </sheetViews>
  <sheetFormatPr defaultRowHeight="14.4" x14ac:dyDescent="0.3"/>
  <cols>
    <col min="1" max="1" width="2.6640625" style="74" customWidth="1"/>
    <col min="2" max="2" width="11.109375" style="74" customWidth="1"/>
    <col min="3" max="3" width="2.6640625" style="74" customWidth="1"/>
    <col min="4" max="17" width="7.5546875" style="74" customWidth="1"/>
    <col min="18" max="16384" width="8.88671875" style="74"/>
  </cols>
  <sheetData>
    <row r="1" spans="2:14" x14ac:dyDescent="0.3">
      <c r="H1" s="50" t="s">
        <v>364</v>
      </c>
    </row>
    <row r="2" spans="2:14" x14ac:dyDescent="0.3">
      <c r="C2" s="76"/>
      <c r="D2" s="82">
        <v>1</v>
      </c>
      <c r="E2" s="82">
        <v>2</v>
      </c>
      <c r="F2" s="82">
        <v>3</v>
      </c>
      <c r="G2" s="82">
        <v>4</v>
      </c>
      <c r="H2" s="82">
        <v>5</v>
      </c>
      <c r="I2" s="82">
        <v>6</v>
      </c>
      <c r="J2" s="82">
        <v>7</v>
      </c>
      <c r="K2" s="82">
        <v>8</v>
      </c>
      <c r="L2" s="82">
        <v>9</v>
      </c>
      <c r="M2" s="82">
        <v>10</v>
      </c>
    </row>
    <row r="3" spans="2:14" ht="18" x14ac:dyDescent="0.3">
      <c r="B3" s="50" t="s">
        <v>365</v>
      </c>
      <c r="C3" s="76"/>
      <c r="D3" s="73">
        <f ca="1">RANDBETWEEN(1,10)</f>
        <v>1</v>
      </c>
      <c r="E3" s="73">
        <f t="shared" ref="E3:M3" ca="1" si="0">RANDBETWEEN(1,10)</f>
        <v>1</v>
      </c>
      <c r="F3" s="73">
        <f t="shared" ca="1" si="0"/>
        <v>3</v>
      </c>
      <c r="G3" s="73">
        <f t="shared" ca="1" si="0"/>
        <v>7</v>
      </c>
      <c r="H3" s="73">
        <f t="shared" ca="1" si="0"/>
        <v>8</v>
      </c>
      <c r="I3" s="73">
        <f t="shared" ca="1" si="0"/>
        <v>1</v>
      </c>
      <c r="J3" s="73">
        <f t="shared" ca="1" si="0"/>
        <v>2</v>
      </c>
      <c r="K3" s="73">
        <f t="shared" ca="1" si="0"/>
        <v>5</v>
      </c>
      <c r="L3" s="73">
        <f t="shared" ca="1" si="0"/>
        <v>4</v>
      </c>
      <c r="M3" s="73">
        <f t="shared" ca="1" si="0"/>
        <v>1</v>
      </c>
      <c r="N3" s="73"/>
    </row>
    <row r="4" spans="2:14" x14ac:dyDescent="0.3">
      <c r="B4" s="50" t="s">
        <v>363</v>
      </c>
      <c r="C4" s="76"/>
      <c r="D4" s="76"/>
      <c r="E4" s="76"/>
      <c r="F4" s="76"/>
      <c r="G4" s="76"/>
      <c r="H4" s="76"/>
      <c r="I4" s="76"/>
      <c r="J4" s="76"/>
      <c r="K4" s="76"/>
      <c r="L4" s="76"/>
      <c r="M4" s="76"/>
    </row>
    <row r="5" spans="2:14" x14ac:dyDescent="0.3">
      <c r="B5" s="81">
        <v>2</v>
      </c>
      <c r="C5" s="76"/>
      <c r="D5" s="75">
        <f ca="1">IF(D$3&gt;=$B5,1,0)+IF(D$3=1,-1,0)</f>
        <v>-1</v>
      </c>
      <c r="E5" s="75">
        <f ca="1">IF(E$3&gt;=$B5,1,0)+D5+IF(E$3=1,-1,0)</f>
        <v>-2</v>
      </c>
      <c r="F5" s="75">
        <f t="shared" ref="F5:M5" ca="1" si="1">IF(F$3&gt;=$B5,1,0)+E5+IF(F$3=1,-1,0)</f>
        <v>-1</v>
      </c>
      <c r="G5" s="75">
        <f t="shared" ca="1" si="1"/>
        <v>0</v>
      </c>
      <c r="H5" s="75">
        <f t="shared" ca="1" si="1"/>
        <v>1</v>
      </c>
      <c r="I5" s="75">
        <f t="shared" ca="1" si="1"/>
        <v>0</v>
      </c>
      <c r="J5" s="75">
        <f t="shared" ca="1" si="1"/>
        <v>1</v>
      </c>
      <c r="K5" s="75">
        <f t="shared" ca="1" si="1"/>
        <v>2</v>
      </c>
      <c r="L5" s="75">
        <f t="shared" ca="1" si="1"/>
        <v>3</v>
      </c>
      <c r="M5" s="75">
        <f t="shared" ca="1" si="1"/>
        <v>2</v>
      </c>
    </row>
    <row r="6" spans="2:14" x14ac:dyDescent="0.3">
      <c r="B6" s="81">
        <v>3</v>
      </c>
      <c r="C6" s="76"/>
      <c r="D6" s="75">
        <f t="shared" ref="D6:D13" ca="1" si="2">IF(D$3&gt;=$B6,1,0)+IF(D$3=1,-1,0)</f>
        <v>-1</v>
      </c>
      <c r="E6" s="75">
        <f t="shared" ref="E6:M13" ca="1" si="3">IF(E$3&gt;=$B6,1,0)+D6+IF(E$3=1,-1,0)</f>
        <v>-2</v>
      </c>
      <c r="F6" s="75">
        <f t="shared" ca="1" si="3"/>
        <v>-1</v>
      </c>
      <c r="G6" s="75">
        <f t="shared" ca="1" si="3"/>
        <v>0</v>
      </c>
      <c r="H6" s="75">
        <f t="shared" ca="1" si="3"/>
        <v>1</v>
      </c>
      <c r="I6" s="75">
        <f t="shared" ca="1" si="3"/>
        <v>0</v>
      </c>
      <c r="J6" s="75">
        <f t="shared" ca="1" si="3"/>
        <v>0</v>
      </c>
      <c r="K6" s="75">
        <f t="shared" ca="1" si="3"/>
        <v>1</v>
      </c>
      <c r="L6" s="75">
        <f t="shared" ca="1" si="3"/>
        <v>2</v>
      </c>
      <c r="M6" s="75">
        <f t="shared" ca="1" si="3"/>
        <v>1</v>
      </c>
    </row>
    <row r="7" spans="2:14" x14ac:dyDescent="0.3">
      <c r="B7" s="81">
        <v>4</v>
      </c>
      <c r="C7" s="76"/>
      <c r="D7" s="75">
        <f t="shared" ca="1" si="2"/>
        <v>-1</v>
      </c>
      <c r="E7" s="75">
        <f t="shared" ca="1" si="3"/>
        <v>-2</v>
      </c>
      <c r="F7" s="75">
        <f t="shared" ca="1" si="3"/>
        <v>-2</v>
      </c>
      <c r="G7" s="75">
        <f t="shared" ca="1" si="3"/>
        <v>-1</v>
      </c>
      <c r="H7" s="75">
        <f t="shared" ca="1" si="3"/>
        <v>0</v>
      </c>
      <c r="I7" s="75">
        <f t="shared" ca="1" si="3"/>
        <v>-1</v>
      </c>
      <c r="J7" s="75">
        <f t="shared" ca="1" si="3"/>
        <v>-1</v>
      </c>
      <c r="K7" s="75">
        <f t="shared" ca="1" si="3"/>
        <v>0</v>
      </c>
      <c r="L7" s="75">
        <f t="shared" ca="1" si="3"/>
        <v>1</v>
      </c>
      <c r="M7" s="75">
        <f t="shared" ca="1" si="3"/>
        <v>0</v>
      </c>
    </row>
    <row r="8" spans="2:14" x14ac:dyDescent="0.3">
      <c r="B8" s="81">
        <v>5</v>
      </c>
      <c r="C8" s="76"/>
      <c r="D8" s="75">
        <f t="shared" ca="1" si="2"/>
        <v>-1</v>
      </c>
      <c r="E8" s="75">
        <f t="shared" ca="1" si="3"/>
        <v>-2</v>
      </c>
      <c r="F8" s="75">
        <f t="shared" ca="1" si="3"/>
        <v>-2</v>
      </c>
      <c r="G8" s="75">
        <f t="shared" ca="1" si="3"/>
        <v>-1</v>
      </c>
      <c r="H8" s="75">
        <f t="shared" ca="1" si="3"/>
        <v>0</v>
      </c>
      <c r="I8" s="75">
        <f t="shared" ca="1" si="3"/>
        <v>-1</v>
      </c>
      <c r="J8" s="75">
        <f t="shared" ca="1" si="3"/>
        <v>-1</v>
      </c>
      <c r="K8" s="75">
        <f t="shared" ca="1" si="3"/>
        <v>0</v>
      </c>
      <c r="L8" s="75">
        <f t="shared" ca="1" si="3"/>
        <v>0</v>
      </c>
      <c r="M8" s="75">
        <f t="shared" ca="1" si="3"/>
        <v>-1</v>
      </c>
    </row>
    <row r="9" spans="2:14" x14ac:dyDescent="0.3">
      <c r="B9" s="81">
        <v>6</v>
      </c>
      <c r="C9" s="76"/>
      <c r="D9" s="75">
        <f t="shared" ca="1" si="2"/>
        <v>-1</v>
      </c>
      <c r="E9" s="75">
        <f t="shared" ca="1" si="3"/>
        <v>-2</v>
      </c>
      <c r="F9" s="75">
        <f t="shared" ca="1" si="3"/>
        <v>-2</v>
      </c>
      <c r="G9" s="75">
        <f t="shared" ca="1" si="3"/>
        <v>-1</v>
      </c>
      <c r="H9" s="75">
        <f t="shared" ca="1" si="3"/>
        <v>0</v>
      </c>
      <c r="I9" s="75">
        <f t="shared" ca="1" si="3"/>
        <v>-1</v>
      </c>
      <c r="J9" s="75">
        <f t="shared" ca="1" si="3"/>
        <v>-1</v>
      </c>
      <c r="K9" s="75">
        <f t="shared" ca="1" si="3"/>
        <v>-1</v>
      </c>
      <c r="L9" s="75">
        <f t="shared" ca="1" si="3"/>
        <v>-1</v>
      </c>
      <c r="M9" s="75">
        <f t="shared" ca="1" si="3"/>
        <v>-2</v>
      </c>
    </row>
    <row r="10" spans="2:14" x14ac:dyDescent="0.3">
      <c r="B10" s="81">
        <v>7</v>
      </c>
      <c r="C10" s="76"/>
      <c r="D10" s="75">
        <f t="shared" ca="1" si="2"/>
        <v>-1</v>
      </c>
      <c r="E10" s="75">
        <f t="shared" ca="1" si="3"/>
        <v>-2</v>
      </c>
      <c r="F10" s="75">
        <f t="shared" ca="1" si="3"/>
        <v>-2</v>
      </c>
      <c r="G10" s="75">
        <f t="shared" ca="1" si="3"/>
        <v>-1</v>
      </c>
      <c r="H10" s="75">
        <f t="shared" ca="1" si="3"/>
        <v>0</v>
      </c>
      <c r="I10" s="75">
        <f t="shared" ca="1" si="3"/>
        <v>-1</v>
      </c>
      <c r="J10" s="75">
        <f t="shared" ca="1" si="3"/>
        <v>-1</v>
      </c>
      <c r="K10" s="75">
        <f t="shared" ca="1" si="3"/>
        <v>-1</v>
      </c>
      <c r="L10" s="75">
        <f t="shared" ca="1" si="3"/>
        <v>-1</v>
      </c>
      <c r="M10" s="75">
        <f t="shared" ca="1" si="3"/>
        <v>-2</v>
      </c>
    </row>
    <row r="11" spans="2:14" x14ac:dyDescent="0.3">
      <c r="B11" s="81">
        <v>8</v>
      </c>
      <c r="C11" s="76"/>
      <c r="D11" s="75">
        <f t="shared" ca="1" si="2"/>
        <v>-1</v>
      </c>
      <c r="E11" s="75">
        <f t="shared" ca="1" si="3"/>
        <v>-2</v>
      </c>
      <c r="F11" s="75">
        <f t="shared" ca="1" si="3"/>
        <v>-2</v>
      </c>
      <c r="G11" s="75">
        <f t="shared" ca="1" si="3"/>
        <v>-2</v>
      </c>
      <c r="H11" s="75">
        <f t="shared" ca="1" si="3"/>
        <v>-1</v>
      </c>
      <c r="I11" s="75">
        <f t="shared" ca="1" si="3"/>
        <v>-2</v>
      </c>
      <c r="J11" s="75">
        <f t="shared" ca="1" si="3"/>
        <v>-2</v>
      </c>
      <c r="K11" s="75">
        <f t="shared" ca="1" si="3"/>
        <v>-2</v>
      </c>
      <c r="L11" s="75">
        <f t="shared" ca="1" si="3"/>
        <v>-2</v>
      </c>
      <c r="M11" s="75">
        <f t="shared" ca="1" si="3"/>
        <v>-3</v>
      </c>
    </row>
    <row r="12" spans="2:14" x14ac:dyDescent="0.3">
      <c r="B12" s="81">
        <v>9</v>
      </c>
      <c r="C12" s="76"/>
      <c r="D12" s="75">
        <f t="shared" ca="1" si="2"/>
        <v>-1</v>
      </c>
      <c r="E12" s="75">
        <f t="shared" ca="1" si="3"/>
        <v>-2</v>
      </c>
      <c r="F12" s="75">
        <f t="shared" ca="1" si="3"/>
        <v>-2</v>
      </c>
      <c r="G12" s="75">
        <f t="shared" ca="1" si="3"/>
        <v>-2</v>
      </c>
      <c r="H12" s="75">
        <f t="shared" ca="1" si="3"/>
        <v>-2</v>
      </c>
      <c r="I12" s="75">
        <f t="shared" ca="1" si="3"/>
        <v>-3</v>
      </c>
      <c r="J12" s="75">
        <f t="shared" ca="1" si="3"/>
        <v>-3</v>
      </c>
      <c r="K12" s="75">
        <f t="shared" ca="1" si="3"/>
        <v>-3</v>
      </c>
      <c r="L12" s="75">
        <f t="shared" ca="1" si="3"/>
        <v>-3</v>
      </c>
      <c r="M12" s="75">
        <f t="shared" ca="1" si="3"/>
        <v>-4</v>
      </c>
    </row>
    <row r="13" spans="2:14" x14ac:dyDescent="0.3">
      <c r="B13" s="81">
        <v>10</v>
      </c>
      <c r="C13" s="76"/>
      <c r="D13" s="75">
        <f t="shared" ca="1" si="2"/>
        <v>-1</v>
      </c>
      <c r="E13" s="75">
        <f t="shared" ca="1" si="3"/>
        <v>-2</v>
      </c>
      <c r="F13" s="75">
        <f t="shared" ca="1" si="3"/>
        <v>-2</v>
      </c>
      <c r="G13" s="75">
        <f t="shared" ca="1" si="3"/>
        <v>-2</v>
      </c>
      <c r="H13" s="75">
        <f t="shared" ca="1" si="3"/>
        <v>-2</v>
      </c>
      <c r="I13" s="75">
        <f t="shared" ca="1" si="3"/>
        <v>-3</v>
      </c>
      <c r="J13" s="75">
        <f t="shared" ca="1" si="3"/>
        <v>-3</v>
      </c>
      <c r="K13" s="75">
        <f t="shared" ca="1" si="3"/>
        <v>-3</v>
      </c>
      <c r="L13" s="75">
        <f t="shared" ca="1" si="3"/>
        <v>-3</v>
      </c>
      <c r="M13" s="75">
        <f t="shared" ca="1" si="3"/>
        <v>-4</v>
      </c>
    </row>
    <row r="15" spans="2:14" x14ac:dyDescent="0.3">
      <c r="D15" s="75" t="s">
        <v>367</v>
      </c>
      <c r="E15" s="75" t="s">
        <v>368</v>
      </c>
      <c r="G15" s="75" t="s">
        <v>366</v>
      </c>
    </row>
    <row r="16" spans="2:14" ht="21" x14ac:dyDescent="0.3">
      <c r="D16" s="80">
        <v>8</v>
      </c>
      <c r="E16" s="77">
        <v>7</v>
      </c>
      <c r="G16" s="78" cm="1">
        <f t="array" aca="1" ref="G16" ca="1">INDIRECT(ADDRESS(E16+3,D16+3,1))</f>
        <v>-1</v>
      </c>
    </row>
    <row r="17" spans="4:7" ht="8.4" customHeight="1" x14ac:dyDescent="0.3">
      <c r="G17" s="78"/>
    </row>
    <row r="18" spans="4:7" ht="15.6" x14ac:dyDescent="0.3">
      <c r="D18" s="75">
        <v>4</v>
      </c>
      <c r="E18" s="75">
        <v>6</v>
      </c>
      <c r="F18" s="75"/>
      <c r="G18" s="79" cm="1">
        <f t="array" aca="1" ref="G18" ca="1">INDIRECT(ADDRESS(E18+3,D18+3,1))</f>
        <v>-1</v>
      </c>
    </row>
    <row r="19" spans="4:7" ht="15.6" x14ac:dyDescent="0.3">
      <c r="D19" s="75">
        <v>5</v>
      </c>
      <c r="E19" s="75">
        <v>6</v>
      </c>
      <c r="F19" s="75"/>
      <c r="G19" s="79" cm="1">
        <f t="array" aca="1" ref="G19" ca="1">INDIRECT(ADDRESS(E19+3,D19+3,1))</f>
        <v>0</v>
      </c>
    </row>
    <row r="20" spans="4:7" ht="15.6" x14ac:dyDescent="0.3">
      <c r="D20" s="75">
        <v>6</v>
      </c>
      <c r="E20" s="75">
        <v>6</v>
      </c>
      <c r="F20" s="75"/>
      <c r="G20" s="79" cm="1">
        <f t="array" aca="1" ref="G20" ca="1">INDIRECT(ADDRESS(E20+3,D20+3,1))</f>
        <v>-1</v>
      </c>
    </row>
    <row r="21" spans="4:7" ht="15.6" x14ac:dyDescent="0.3">
      <c r="D21" s="75">
        <v>7</v>
      </c>
      <c r="E21" s="75">
        <v>6</v>
      </c>
      <c r="F21" s="75"/>
      <c r="G21" s="79" cm="1">
        <f t="array" aca="1" ref="G21" ca="1">INDIRECT(ADDRESS(E21+3,D21+3,1))</f>
        <v>-1</v>
      </c>
    </row>
    <row r="22" spans="4:7" ht="15.6" x14ac:dyDescent="0.3">
      <c r="D22" s="75">
        <v>8</v>
      </c>
      <c r="E22" s="75">
        <v>6</v>
      </c>
      <c r="F22" s="75"/>
      <c r="G22" s="79" cm="1">
        <f t="array" aca="1" ref="G22" ca="1">INDIRECT(ADDRESS(E22+3,D22+3,1))</f>
        <v>-1</v>
      </c>
    </row>
    <row r="23" spans="4:7" ht="15.6" x14ac:dyDescent="0.3">
      <c r="D23" s="75">
        <v>9</v>
      </c>
      <c r="E23" s="75">
        <v>6</v>
      </c>
      <c r="F23" s="75"/>
      <c r="G23" s="79" cm="1">
        <f t="array" aca="1" ref="G23" ca="1">INDIRECT(ADDRESS(E23+3,D23+3,1))</f>
        <v>-1</v>
      </c>
    </row>
  </sheetData>
  <conditionalFormatting sqref="D5:M13">
    <cfRule type="cellIs" dxfId="7" priority="1" operator="greaterThan">
      <formula>5</formula>
    </cfRule>
    <cfRule type="cellIs" dxfId="6" priority="2" operator="equal">
      <formula>1</formula>
    </cfRule>
    <cfRule type="cellIs" dxfId="5" priority="3" operator="equal">
      <formula>2</formula>
    </cfRule>
    <cfRule type="cellIs" dxfId="4" priority="4" operator="equal">
      <formula>3</formula>
    </cfRule>
    <cfRule type="cellIs" dxfId="3" priority="5" operator="equal">
      <formula>4</formula>
    </cfRule>
    <cfRule type="cellIs" dxfId="2" priority="6" operator="equal">
      <formula>0</formula>
    </cfRule>
    <cfRule type="cellIs" dxfId="1" priority="7" operator="equal">
      <formula>5</formula>
    </cfRule>
    <cfRule type="cellIs" dxfId="0" priority="8" operator="equal">
      <formula>-1</formula>
    </cfRule>
  </conditionalFormatting>
  <pageMargins left="0.25" right="0.25"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6B7E5-20DC-4256-8C7B-E01845B2F220}">
  <sheetPr codeName="Foglio2"/>
  <dimension ref="A1:K177"/>
  <sheetViews>
    <sheetView tabSelected="1" zoomScale="120" zoomScaleNormal="120" workbookViewId="0">
      <selection activeCell="L14" sqref="L14"/>
    </sheetView>
  </sheetViews>
  <sheetFormatPr defaultRowHeight="13.8" x14ac:dyDescent="0.3"/>
  <cols>
    <col min="1" max="10" width="8.88671875" style="11"/>
    <col min="11" max="11" width="8.88671875" style="4"/>
    <col min="12" max="16384" width="8.88671875" style="11"/>
  </cols>
  <sheetData>
    <row r="1" spans="1:11" ht="17.399999999999999" x14ac:dyDescent="0.3">
      <c r="A1" s="10" t="s">
        <v>68</v>
      </c>
      <c r="I1" s="12"/>
      <c r="K1" s="13" t="s">
        <v>139</v>
      </c>
    </row>
    <row r="3" spans="1:11" x14ac:dyDescent="0.3">
      <c r="A3" s="14" t="s">
        <v>0</v>
      </c>
      <c r="D3" s="15"/>
      <c r="E3" s="11" t="s">
        <v>3</v>
      </c>
      <c r="F3" s="3" t="s">
        <v>133</v>
      </c>
      <c r="H3" s="15"/>
      <c r="I3" s="11" t="s">
        <v>6</v>
      </c>
      <c r="J3" s="11" t="s">
        <v>65</v>
      </c>
      <c r="K3" s="33" t="s">
        <v>205</v>
      </c>
    </row>
    <row r="4" spans="1:11" x14ac:dyDescent="0.3">
      <c r="A4" s="14" t="s">
        <v>1</v>
      </c>
      <c r="D4" s="15"/>
      <c r="E4" s="11" t="s">
        <v>4</v>
      </c>
      <c r="F4" s="3" t="s">
        <v>134</v>
      </c>
      <c r="H4" s="15"/>
      <c r="I4" s="11" t="s">
        <v>72</v>
      </c>
    </row>
    <row r="5" spans="1:11" x14ac:dyDescent="0.3">
      <c r="A5" s="14" t="s">
        <v>2</v>
      </c>
      <c r="B5" s="11" t="s">
        <v>136</v>
      </c>
      <c r="D5" s="15"/>
      <c r="E5" s="11" t="s">
        <v>5</v>
      </c>
      <c r="F5" s="3" t="s">
        <v>132</v>
      </c>
      <c r="H5" s="15"/>
      <c r="I5" s="11" t="s">
        <v>73</v>
      </c>
      <c r="J5" s="11" t="s">
        <v>137</v>
      </c>
    </row>
    <row r="7" spans="1:11" ht="17.399999999999999" x14ac:dyDescent="0.3">
      <c r="F7" s="16" t="s">
        <v>8</v>
      </c>
    </row>
    <row r="8" spans="1:11" ht="8.4" customHeight="1" x14ac:dyDescent="0.3"/>
    <row r="9" spans="1:11" x14ac:dyDescent="0.3">
      <c r="B9" s="17" t="s">
        <v>9</v>
      </c>
      <c r="C9" s="18"/>
      <c r="D9" s="18"/>
      <c r="E9" s="18"/>
      <c r="F9" s="17" t="s">
        <v>10</v>
      </c>
      <c r="G9" s="18"/>
      <c r="H9" s="18"/>
      <c r="I9" s="18"/>
      <c r="J9" s="17" t="s">
        <v>11</v>
      </c>
    </row>
    <row r="10" spans="1:11" x14ac:dyDescent="0.3">
      <c r="A10" s="19" t="s">
        <v>12</v>
      </c>
      <c r="C10" s="4">
        <v>3</v>
      </c>
      <c r="D10" s="15"/>
      <c r="E10" s="3" t="s">
        <v>13</v>
      </c>
      <c r="G10" s="4">
        <v>1</v>
      </c>
      <c r="H10" s="15"/>
      <c r="I10" s="3" t="s">
        <v>14</v>
      </c>
      <c r="K10" s="4">
        <v>3</v>
      </c>
    </row>
    <row r="11" spans="1:11" x14ac:dyDescent="0.3">
      <c r="A11" s="19" t="s">
        <v>15</v>
      </c>
      <c r="C11" s="4">
        <v>2</v>
      </c>
      <c r="D11" s="15"/>
      <c r="E11" s="3" t="s">
        <v>17</v>
      </c>
      <c r="G11" s="4">
        <v>1</v>
      </c>
      <c r="H11" s="15"/>
      <c r="I11" s="3" t="s">
        <v>19</v>
      </c>
      <c r="K11" s="4">
        <v>1</v>
      </c>
    </row>
    <row r="12" spans="1:11" x14ac:dyDescent="0.3">
      <c r="A12" s="19" t="s">
        <v>16</v>
      </c>
      <c r="C12" s="4">
        <v>2</v>
      </c>
      <c r="D12" s="15"/>
      <c r="E12" s="3" t="s">
        <v>18</v>
      </c>
      <c r="G12" s="4">
        <v>1</v>
      </c>
      <c r="H12" s="15"/>
      <c r="I12" s="3" t="s">
        <v>20</v>
      </c>
      <c r="K12" s="4">
        <v>1</v>
      </c>
    </row>
    <row r="13" spans="1:11" x14ac:dyDescent="0.3">
      <c r="C13" s="20">
        <f>SUM(C10:C12)</f>
        <v>7</v>
      </c>
      <c r="G13" s="20">
        <f>SUM(G10:G12)</f>
        <v>3</v>
      </c>
      <c r="K13" s="20">
        <f>SUM(K10:K12)</f>
        <v>5</v>
      </c>
    </row>
    <row r="14" spans="1:11" ht="17.399999999999999" x14ac:dyDescent="0.3">
      <c r="F14" s="16" t="s">
        <v>22</v>
      </c>
    </row>
    <row r="15" spans="1:11" ht="9" customHeight="1" x14ac:dyDescent="0.3"/>
    <row r="16" spans="1:11" x14ac:dyDescent="0.3">
      <c r="B16" s="17" t="s">
        <v>23</v>
      </c>
      <c r="C16" s="17"/>
      <c r="D16" s="17"/>
      <c r="E16" s="17"/>
      <c r="F16" s="17" t="s">
        <v>54</v>
      </c>
      <c r="G16" s="17"/>
      <c r="H16" s="17"/>
      <c r="I16" s="17"/>
      <c r="J16" s="17" t="s">
        <v>55</v>
      </c>
    </row>
    <row r="17" spans="1:11" x14ac:dyDescent="0.3">
      <c r="A17" s="14" t="s">
        <v>24</v>
      </c>
      <c r="C17" s="4">
        <v>2</v>
      </c>
      <c r="D17" s="15"/>
      <c r="E17" s="11" t="s">
        <v>31</v>
      </c>
      <c r="G17" s="4">
        <v>1</v>
      </c>
      <c r="H17" s="15"/>
      <c r="I17" s="11" t="s">
        <v>32</v>
      </c>
      <c r="K17" s="4">
        <v>0</v>
      </c>
    </row>
    <row r="18" spans="1:11" x14ac:dyDescent="0.3">
      <c r="A18" s="14" t="s">
        <v>33</v>
      </c>
      <c r="C18" s="4">
        <v>0</v>
      </c>
      <c r="D18" s="15"/>
      <c r="E18" s="11" t="s">
        <v>34</v>
      </c>
      <c r="G18" s="4">
        <v>0</v>
      </c>
      <c r="H18" s="15"/>
      <c r="I18" s="11" t="s">
        <v>35</v>
      </c>
      <c r="K18" s="4">
        <v>0</v>
      </c>
    </row>
    <row r="19" spans="1:11" x14ac:dyDescent="0.3">
      <c r="A19" s="14" t="s">
        <v>53</v>
      </c>
      <c r="C19" s="4">
        <v>1</v>
      </c>
      <c r="D19" s="15"/>
      <c r="E19" s="11" t="s">
        <v>36</v>
      </c>
      <c r="G19" s="4">
        <v>0</v>
      </c>
      <c r="H19" s="15"/>
      <c r="I19" s="11" t="s">
        <v>37</v>
      </c>
      <c r="K19" s="4">
        <v>0</v>
      </c>
    </row>
    <row r="20" spans="1:11" x14ac:dyDescent="0.3">
      <c r="A20" s="14" t="s">
        <v>27</v>
      </c>
      <c r="C20" s="4">
        <v>0</v>
      </c>
      <c r="D20" s="15"/>
      <c r="E20" s="11" t="s">
        <v>39</v>
      </c>
      <c r="G20" s="4">
        <v>2</v>
      </c>
      <c r="H20" s="15"/>
      <c r="I20" s="11" t="s">
        <v>46</v>
      </c>
      <c r="K20" s="4">
        <v>0</v>
      </c>
    </row>
    <row r="21" spans="1:11" x14ac:dyDescent="0.3">
      <c r="A21" s="14" t="s">
        <v>28</v>
      </c>
      <c r="C21" s="4">
        <v>0</v>
      </c>
      <c r="D21" s="15"/>
      <c r="E21" s="11" t="s">
        <v>40</v>
      </c>
      <c r="G21" s="4">
        <v>0</v>
      </c>
      <c r="H21" s="15"/>
      <c r="I21" s="11" t="s">
        <v>47</v>
      </c>
      <c r="K21" s="4">
        <v>0</v>
      </c>
    </row>
    <row r="22" spans="1:11" x14ac:dyDescent="0.3">
      <c r="A22" s="14" t="s">
        <v>29</v>
      </c>
      <c r="C22" s="4">
        <v>0</v>
      </c>
      <c r="D22" s="15"/>
      <c r="E22" s="11" t="s">
        <v>41</v>
      </c>
      <c r="G22" s="4">
        <v>1</v>
      </c>
      <c r="H22" s="15"/>
      <c r="I22" s="11" t="s">
        <v>48</v>
      </c>
      <c r="K22" s="4">
        <v>0</v>
      </c>
    </row>
    <row r="23" spans="1:11" x14ac:dyDescent="0.3">
      <c r="A23" s="14" t="s">
        <v>25</v>
      </c>
      <c r="C23" s="4">
        <v>3</v>
      </c>
      <c r="D23" s="15"/>
      <c r="E23" s="11" t="s">
        <v>42</v>
      </c>
      <c r="G23" s="4">
        <v>0</v>
      </c>
      <c r="H23" s="15"/>
      <c r="I23" s="11" t="s">
        <v>49</v>
      </c>
      <c r="K23" s="4">
        <v>2</v>
      </c>
    </row>
    <row r="24" spans="1:11" x14ac:dyDescent="0.3">
      <c r="A24" s="14" t="s">
        <v>26</v>
      </c>
      <c r="C24" s="4">
        <v>3</v>
      </c>
      <c r="D24" s="15"/>
      <c r="E24" s="11" t="s">
        <v>43</v>
      </c>
      <c r="G24" s="4">
        <v>2</v>
      </c>
      <c r="H24" s="15"/>
      <c r="I24" s="11" t="s">
        <v>50</v>
      </c>
      <c r="K24" s="4">
        <v>2</v>
      </c>
    </row>
    <row r="25" spans="1:11" x14ac:dyDescent="0.3">
      <c r="A25" s="14" t="s">
        <v>38</v>
      </c>
      <c r="C25" s="4">
        <v>2</v>
      </c>
      <c r="D25" s="15"/>
      <c r="E25" s="11" t="s">
        <v>44</v>
      </c>
      <c r="G25" s="4">
        <v>0</v>
      </c>
      <c r="H25" s="15"/>
      <c r="I25" s="11" t="s">
        <v>51</v>
      </c>
      <c r="K25" s="4">
        <v>1</v>
      </c>
    </row>
    <row r="26" spans="1:11" x14ac:dyDescent="0.3">
      <c r="A26" s="14" t="s">
        <v>30</v>
      </c>
      <c r="C26" s="4">
        <v>2</v>
      </c>
      <c r="D26" s="15"/>
      <c r="E26" s="11" t="s">
        <v>45</v>
      </c>
      <c r="G26" s="4">
        <v>3</v>
      </c>
      <c r="H26" s="15"/>
      <c r="I26" s="11" t="s">
        <v>52</v>
      </c>
      <c r="K26" s="4">
        <v>0</v>
      </c>
    </row>
    <row r="27" spans="1:11" x14ac:dyDescent="0.3">
      <c r="C27" s="20">
        <f>SUM(C17:C26)</f>
        <v>13</v>
      </c>
      <c r="G27" s="20">
        <f>SUM(G17:G26)</f>
        <v>9</v>
      </c>
      <c r="K27" s="20">
        <f>SUM(K17:K26)</f>
        <v>5</v>
      </c>
    </row>
    <row r="28" spans="1:11" ht="17.399999999999999" x14ac:dyDescent="0.3">
      <c r="F28" s="16" t="s">
        <v>56</v>
      </c>
    </row>
    <row r="29" spans="1:11" ht="9" customHeight="1" x14ac:dyDescent="0.3"/>
    <row r="30" spans="1:11" s="18" customFormat="1" x14ac:dyDescent="0.3">
      <c r="B30" s="17" t="s">
        <v>58</v>
      </c>
      <c r="H30" s="17" t="s">
        <v>59</v>
      </c>
      <c r="J30" s="17" t="s">
        <v>147</v>
      </c>
      <c r="K30" s="17" t="s">
        <v>148</v>
      </c>
    </row>
    <row r="31" spans="1:11" x14ac:dyDescent="0.3">
      <c r="A31" s="11" t="s">
        <v>0</v>
      </c>
      <c r="B31" s="4" t="s">
        <v>77</v>
      </c>
      <c r="C31" s="11" t="s">
        <v>64</v>
      </c>
      <c r="G31" s="11" t="s">
        <v>60</v>
      </c>
      <c r="I31" s="4">
        <v>2</v>
      </c>
      <c r="J31" s="4"/>
    </row>
    <row r="32" spans="1:11" x14ac:dyDescent="0.3">
      <c r="A32" s="11" t="s">
        <v>140</v>
      </c>
      <c r="B32" s="4">
        <v>1</v>
      </c>
      <c r="C32" s="11" t="s">
        <v>141</v>
      </c>
      <c r="G32" s="11" t="s">
        <v>61</v>
      </c>
      <c r="I32" s="4">
        <v>2</v>
      </c>
      <c r="J32" s="4"/>
    </row>
    <row r="33" spans="1:11" x14ac:dyDescent="0.3">
      <c r="A33" s="11" t="s">
        <v>142</v>
      </c>
      <c r="B33" s="4">
        <v>1</v>
      </c>
      <c r="C33" s="11" t="s">
        <v>143</v>
      </c>
      <c r="G33" s="11" t="s">
        <v>62</v>
      </c>
      <c r="I33" s="4">
        <v>3</v>
      </c>
      <c r="J33" s="4"/>
    </row>
    <row r="34" spans="1:11" x14ac:dyDescent="0.3">
      <c r="A34" s="11" t="s">
        <v>144</v>
      </c>
      <c r="B34" s="4">
        <v>1</v>
      </c>
      <c r="C34" s="11" t="s">
        <v>145</v>
      </c>
      <c r="G34" s="11" t="s">
        <v>74</v>
      </c>
      <c r="I34" s="4" t="s">
        <v>149</v>
      </c>
      <c r="J34" s="4"/>
    </row>
    <row r="35" spans="1:11" x14ac:dyDescent="0.3">
      <c r="B35" s="4">
        <v>2</v>
      </c>
      <c r="C35" s="11" t="s">
        <v>146</v>
      </c>
      <c r="G35" s="11" t="s">
        <v>69</v>
      </c>
      <c r="I35" s="4">
        <f>I31+I32</f>
        <v>4</v>
      </c>
      <c r="J35" s="4"/>
    </row>
    <row r="36" spans="1:11" x14ac:dyDescent="0.3">
      <c r="G36" s="11" t="s">
        <v>21</v>
      </c>
      <c r="I36" s="4">
        <f>I33</f>
        <v>3</v>
      </c>
      <c r="J36" s="4"/>
    </row>
    <row r="37" spans="1:11" x14ac:dyDescent="0.3">
      <c r="G37" s="11" t="s">
        <v>70</v>
      </c>
      <c r="I37" s="4">
        <v>10</v>
      </c>
      <c r="J37" s="4"/>
    </row>
    <row r="38" spans="1:11" s="18" customFormat="1" x14ac:dyDescent="0.3">
      <c r="K38" s="17"/>
    </row>
    <row r="39" spans="1:11" x14ac:dyDescent="0.3">
      <c r="A39" s="18"/>
      <c r="B39" s="17" t="s">
        <v>66</v>
      </c>
      <c r="C39" s="18"/>
      <c r="E39" s="4"/>
      <c r="G39" s="18"/>
      <c r="H39" s="17" t="s">
        <v>57</v>
      </c>
      <c r="I39" s="18"/>
    </row>
    <row r="40" spans="1:11" ht="13.8" customHeight="1" x14ac:dyDescent="0.3">
      <c r="A40" s="11" t="s">
        <v>0</v>
      </c>
      <c r="B40" s="4"/>
      <c r="C40" s="11" t="s">
        <v>63</v>
      </c>
      <c r="D40" s="4" t="s">
        <v>67</v>
      </c>
      <c r="E40" s="2"/>
      <c r="G40" s="11" t="s">
        <v>0</v>
      </c>
      <c r="H40" s="4" t="s">
        <v>63</v>
      </c>
      <c r="I40" s="11" t="s">
        <v>64</v>
      </c>
      <c r="J40" s="18"/>
    </row>
    <row r="41" spans="1:11" x14ac:dyDescent="0.3">
      <c r="A41" s="3" t="s">
        <v>152</v>
      </c>
      <c r="B41" s="3"/>
      <c r="C41" s="4">
        <v>2</v>
      </c>
      <c r="D41" s="5" t="s">
        <v>158</v>
      </c>
      <c r="E41" s="2"/>
      <c r="G41" s="11" t="s">
        <v>116</v>
      </c>
      <c r="H41" s="4">
        <v>2</v>
      </c>
      <c r="I41" s="21" t="s">
        <v>150</v>
      </c>
    </row>
    <row r="42" spans="1:11" x14ac:dyDescent="0.3">
      <c r="A42" s="3" t="s">
        <v>153</v>
      </c>
      <c r="B42" s="3"/>
      <c r="C42" s="4">
        <v>1</v>
      </c>
      <c r="D42" s="5" t="s">
        <v>159</v>
      </c>
      <c r="E42" s="2"/>
      <c r="G42" s="11" t="s">
        <v>107</v>
      </c>
      <c r="H42" s="4">
        <v>1</v>
      </c>
      <c r="I42" s="21"/>
    </row>
    <row r="43" spans="1:11" x14ac:dyDescent="0.3">
      <c r="A43" s="3" t="s">
        <v>154</v>
      </c>
      <c r="B43" s="3"/>
      <c r="C43" s="4">
        <v>1</v>
      </c>
      <c r="D43" s="6" t="s">
        <v>160</v>
      </c>
      <c r="E43" s="2"/>
      <c r="G43" s="11" t="s">
        <v>101</v>
      </c>
      <c r="H43" s="4">
        <v>1</v>
      </c>
      <c r="I43" s="21"/>
    </row>
    <row r="44" spans="1:11" x14ac:dyDescent="0.3">
      <c r="A44" s="11" t="s">
        <v>155</v>
      </c>
      <c r="C44" s="4">
        <v>2</v>
      </c>
      <c r="D44" s="21" t="s">
        <v>163</v>
      </c>
      <c r="E44" s="4"/>
      <c r="G44" s="11" t="s">
        <v>103</v>
      </c>
      <c r="H44" s="4">
        <v>1</v>
      </c>
      <c r="I44" s="21" t="s">
        <v>151</v>
      </c>
    </row>
    <row r="45" spans="1:11" ht="13.8" customHeight="1" x14ac:dyDescent="0.3">
      <c r="A45" s="3" t="s">
        <v>156</v>
      </c>
      <c r="B45" s="3"/>
      <c r="C45" s="4">
        <v>2</v>
      </c>
      <c r="D45" s="5" t="s">
        <v>161</v>
      </c>
      <c r="E45" s="2"/>
      <c r="I45" s="21"/>
    </row>
    <row r="46" spans="1:11" x14ac:dyDescent="0.3">
      <c r="A46" s="3" t="s">
        <v>157</v>
      </c>
      <c r="B46" s="3"/>
      <c r="C46" s="4">
        <v>1</v>
      </c>
      <c r="D46" s="5" t="s">
        <v>162</v>
      </c>
      <c r="E46" s="2"/>
      <c r="I46" s="21"/>
    </row>
    <row r="47" spans="1:11" x14ac:dyDescent="0.3">
      <c r="D47" s="21"/>
      <c r="G47" s="2"/>
      <c r="H47" s="2"/>
      <c r="I47" s="7"/>
      <c r="J47" s="2"/>
      <c r="K47" s="2"/>
    </row>
    <row r="48" spans="1:11" x14ac:dyDescent="0.3">
      <c r="D48" s="21"/>
      <c r="I48" s="21"/>
    </row>
    <row r="49" spans="1:10" x14ac:dyDescent="0.3">
      <c r="B49" s="4"/>
      <c r="D49" s="21"/>
      <c r="I49" s="21"/>
    </row>
    <row r="50" spans="1:10" x14ac:dyDescent="0.3">
      <c r="B50" s="4"/>
      <c r="D50" s="21"/>
      <c r="I50" s="21"/>
    </row>
    <row r="51" spans="1:10" ht="17.399999999999999" x14ac:dyDescent="0.3">
      <c r="F51" s="16" t="s">
        <v>81</v>
      </c>
    </row>
    <row r="52" spans="1:10" ht="9" customHeight="1" x14ac:dyDescent="0.3"/>
    <row r="53" spans="1:10" x14ac:dyDescent="0.3">
      <c r="A53" s="11" t="s">
        <v>82</v>
      </c>
      <c r="D53" s="11" t="s">
        <v>77</v>
      </c>
      <c r="E53" s="11" t="s">
        <v>83</v>
      </c>
    </row>
    <row r="60" spans="1:10" ht="17.399999999999999" x14ac:dyDescent="0.3">
      <c r="F60" s="16" t="s">
        <v>85</v>
      </c>
    </row>
    <row r="61" spans="1:10" ht="9" customHeight="1" x14ac:dyDescent="0.3"/>
    <row r="62" spans="1:10" x14ac:dyDescent="0.3">
      <c r="A62" s="11" t="s">
        <v>86</v>
      </c>
      <c r="B62" s="11" t="s">
        <v>87</v>
      </c>
      <c r="C62" s="11" t="s">
        <v>64</v>
      </c>
      <c r="F62" s="11" t="s">
        <v>88</v>
      </c>
      <c r="G62" s="11" t="s">
        <v>91</v>
      </c>
      <c r="H62" s="11" t="s">
        <v>90</v>
      </c>
      <c r="I62" s="11" t="s">
        <v>89</v>
      </c>
      <c r="J62" s="11" t="s">
        <v>92</v>
      </c>
    </row>
    <row r="74" spans="1:6" ht="17.399999999999999" x14ac:dyDescent="0.3">
      <c r="F74" s="16" t="s">
        <v>75</v>
      </c>
    </row>
    <row r="76" spans="1:6" x14ac:dyDescent="0.3">
      <c r="B76" s="17" t="s">
        <v>23</v>
      </c>
    </row>
    <row r="77" spans="1:6" ht="9" customHeight="1" x14ac:dyDescent="0.3"/>
    <row r="78" spans="1:6" x14ac:dyDescent="0.3">
      <c r="A78" s="11" t="s">
        <v>84</v>
      </c>
    </row>
    <row r="84" spans="1:11" ht="17.399999999999999" x14ac:dyDescent="0.3">
      <c r="B84" s="16" t="s">
        <v>76</v>
      </c>
      <c r="F84" s="16" t="s">
        <v>100</v>
      </c>
      <c r="J84" s="24" t="s">
        <v>78</v>
      </c>
    </row>
    <row r="85" spans="1:11" x14ac:dyDescent="0.3">
      <c r="A85" s="25" t="s">
        <v>0</v>
      </c>
      <c r="B85" s="26" t="s">
        <v>77</v>
      </c>
      <c r="C85" s="23" t="s">
        <v>64</v>
      </c>
      <c r="E85" s="25"/>
      <c r="F85" s="26"/>
      <c r="G85" s="23"/>
      <c r="I85" s="25" t="s">
        <v>79</v>
      </c>
      <c r="J85" s="26"/>
      <c r="K85" s="27">
        <v>0</v>
      </c>
    </row>
    <row r="86" spans="1:11" x14ac:dyDescent="0.3">
      <c r="A86" s="14"/>
      <c r="C86" s="15"/>
      <c r="E86" s="14"/>
      <c r="G86" s="15"/>
      <c r="I86" s="14" t="s">
        <v>80</v>
      </c>
      <c r="K86" s="28">
        <v>0</v>
      </c>
    </row>
    <row r="87" spans="1:11" x14ac:dyDescent="0.3">
      <c r="A87" s="14"/>
      <c r="C87" s="15"/>
      <c r="E87" s="14"/>
      <c r="G87" s="15"/>
      <c r="I87" s="14"/>
      <c r="K87" s="28"/>
    </row>
    <row r="88" spans="1:11" x14ac:dyDescent="0.3">
      <c r="A88" s="14"/>
      <c r="C88" s="15"/>
      <c r="E88" s="14"/>
      <c r="G88" s="15"/>
      <c r="I88" s="14"/>
      <c r="K88" s="28"/>
    </row>
    <row r="89" spans="1:11" x14ac:dyDescent="0.3">
      <c r="A89" s="14"/>
      <c r="C89" s="15"/>
      <c r="E89" s="14"/>
      <c r="G89" s="15"/>
      <c r="I89" s="14"/>
      <c r="K89" s="28"/>
    </row>
    <row r="90" spans="1:11" x14ac:dyDescent="0.3">
      <c r="A90" s="14"/>
      <c r="C90" s="15"/>
      <c r="E90" s="14"/>
      <c r="G90" s="15"/>
      <c r="I90" s="14"/>
      <c r="K90" s="28"/>
    </row>
    <row r="91" spans="1:11" x14ac:dyDescent="0.3">
      <c r="A91" s="29"/>
      <c r="B91" s="30"/>
      <c r="C91" s="22"/>
      <c r="E91" s="29"/>
      <c r="F91" s="30"/>
      <c r="G91" s="22"/>
      <c r="I91" s="29"/>
      <c r="J91" s="30"/>
      <c r="K91" s="31"/>
    </row>
    <row r="93" spans="1:11" x14ac:dyDescent="0.3">
      <c r="A93" s="11" t="s">
        <v>93</v>
      </c>
      <c r="B93" s="11" t="s">
        <v>94</v>
      </c>
      <c r="C93" s="11" t="s">
        <v>95</v>
      </c>
      <c r="D93" s="11" t="s">
        <v>96</v>
      </c>
      <c r="E93" s="11" t="s">
        <v>97</v>
      </c>
      <c r="F93" s="11" t="s">
        <v>98</v>
      </c>
      <c r="I93" s="11" t="s">
        <v>99</v>
      </c>
    </row>
    <row r="94" spans="1:11" x14ac:dyDescent="0.3">
      <c r="A94" s="25"/>
      <c r="B94" s="26"/>
      <c r="C94" s="26"/>
      <c r="D94" s="26"/>
      <c r="E94" s="26"/>
      <c r="F94" s="26"/>
      <c r="G94" s="23"/>
      <c r="I94" s="25"/>
      <c r="J94" s="26"/>
      <c r="K94" s="27"/>
    </row>
    <row r="95" spans="1:11" x14ac:dyDescent="0.3">
      <c r="A95" s="14"/>
      <c r="G95" s="15"/>
      <c r="I95" s="14"/>
      <c r="K95" s="28"/>
    </row>
    <row r="96" spans="1:11" x14ac:dyDescent="0.3">
      <c r="A96" s="14"/>
      <c r="G96" s="15"/>
      <c r="I96" s="14"/>
      <c r="K96" s="28"/>
    </row>
    <row r="97" spans="1:11" x14ac:dyDescent="0.3">
      <c r="A97" s="14"/>
      <c r="G97" s="15"/>
      <c r="I97" s="14"/>
      <c r="K97" s="28"/>
    </row>
    <row r="98" spans="1:11" x14ac:dyDescent="0.3">
      <c r="A98" s="14"/>
      <c r="G98" s="15"/>
      <c r="I98" s="14"/>
      <c r="K98" s="28"/>
    </row>
    <row r="99" spans="1:11" x14ac:dyDescent="0.3">
      <c r="A99" s="14"/>
      <c r="G99" s="15"/>
      <c r="I99" s="14"/>
      <c r="K99" s="28"/>
    </row>
    <row r="100" spans="1:11" x14ac:dyDescent="0.3">
      <c r="A100" s="29"/>
      <c r="B100" s="30"/>
      <c r="C100" s="30"/>
      <c r="D100" s="30"/>
      <c r="E100" s="30"/>
      <c r="F100" s="30"/>
      <c r="G100" s="22"/>
      <c r="I100" s="29"/>
      <c r="J100" s="30"/>
      <c r="K100" s="31"/>
    </row>
    <row r="101" spans="1:11" ht="17.399999999999999" x14ac:dyDescent="0.3">
      <c r="F101" s="24" t="s">
        <v>57</v>
      </c>
    </row>
    <row r="102" spans="1:11" x14ac:dyDescent="0.3">
      <c r="B102" s="11" t="s">
        <v>0</v>
      </c>
      <c r="D102" s="11" t="s">
        <v>110</v>
      </c>
      <c r="G102" s="11" t="s">
        <v>0</v>
      </c>
      <c r="I102" s="11" t="s">
        <v>110</v>
      </c>
    </row>
    <row r="103" spans="1:11" x14ac:dyDescent="0.3">
      <c r="A103" s="25" t="s">
        <v>102</v>
      </c>
      <c r="B103" s="25"/>
      <c r="C103" s="26"/>
      <c r="D103" s="26"/>
      <c r="E103" s="26"/>
      <c r="F103" s="23"/>
      <c r="G103" s="26"/>
      <c r="H103" s="26"/>
      <c r="I103" s="26"/>
      <c r="J103" s="26"/>
      <c r="K103" s="27"/>
    </row>
    <row r="104" spans="1:11" x14ac:dyDescent="0.3">
      <c r="A104" s="14" t="s">
        <v>101</v>
      </c>
      <c r="B104" s="14"/>
      <c r="F104" s="15"/>
      <c r="K104" s="28"/>
    </row>
    <row r="105" spans="1:11" x14ac:dyDescent="0.3">
      <c r="A105" s="14" t="s">
        <v>103</v>
      </c>
      <c r="B105" s="14"/>
      <c r="F105" s="15"/>
      <c r="K105" s="28"/>
    </row>
    <row r="106" spans="1:11" x14ac:dyDescent="0.3">
      <c r="A106" s="14" t="s">
        <v>106</v>
      </c>
      <c r="B106" s="14"/>
      <c r="F106" s="15"/>
      <c r="K106" s="28"/>
    </row>
    <row r="107" spans="1:11" x14ac:dyDescent="0.3">
      <c r="A107" s="29" t="s">
        <v>107</v>
      </c>
      <c r="B107" s="29"/>
      <c r="C107" s="30"/>
      <c r="D107" s="30"/>
      <c r="E107" s="30"/>
      <c r="F107" s="22"/>
      <c r="G107" s="30"/>
      <c r="H107" s="30"/>
      <c r="I107" s="30"/>
      <c r="J107" s="30"/>
      <c r="K107" s="31"/>
    </row>
    <row r="109" spans="1:11" x14ac:dyDescent="0.3">
      <c r="B109" s="11" t="s">
        <v>83</v>
      </c>
      <c r="D109" s="11" t="s">
        <v>131</v>
      </c>
      <c r="G109" s="11" t="s">
        <v>83</v>
      </c>
      <c r="I109" s="11" t="s">
        <v>110</v>
      </c>
    </row>
    <row r="110" spans="1:11" x14ac:dyDescent="0.3">
      <c r="A110" s="25" t="s">
        <v>105</v>
      </c>
      <c r="B110" s="25"/>
      <c r="C110" s="26"/>
      <c r="D110" s="26"/>
      <c r="E110" s="26"/>
      <c r="F110" s="26"/>
      <c r="G110" s="25"/>
      <c r="H110" s="26"/>
      <c r="I110" s="26"/>
      <c r="J110" s="26"/>
      <c r="K110" s="27"/>
    </row>
    <row r="111" spans="1:11" x14ac:dyDescent="0.3">
      <c r="A111" s="14" t="s">
        <v>109</v>
      </c>
      <c r="B111" s="14"/>
      <c r="G111" s="14"/>
      <c r="K111" s="28"/>
    </row>
    <row r="112" spans="1:11" x14ac:dyDescent="0.3">
      <c r="A112" s="29" t="s">
        <v>108</v>
      </c>
      <c r="B112" s="29"/>
      <c r="C112" s="30"/>
      <c r="D112" s="30"/>
      <c r="E112" s="30"/>
      <c r="F112" s="30"/>
      <c r="G112" s="29"/>
      <c r="H112" s="30"/>
      <c r="I112" s="30"/>
      <c r="J112" s="30"/>
      <c r="K112" s="31"/>
    </row>
    <row r="114" spans="1:11" x14ac:dyDescent="0.3">
      <c r="A114" s="25" t="s">
        <v>111</v>
      </c>
      <c r="B114" s="26"/>
      <c r="C114" s="26"/>
      <c r="D114" s="26"/>
      <c r="E114" s="26"/>
      <c r="F114" s="26"/>
      <c r="G114" s="26"/>
      <c r="H114" s="26"/>
      <c r="I114" s="26"/>
      <c r="J114" s="26"/>
      <c r="K114" s="27"/>
    </row>
    <row r="115" spans="1:11" x14ac:dyDescent="0.3">
      <c r="A115" s="14" t="s">
        <v>112</v>
      </c>
      <c r="K115" s="28"/>
    </row>
    <row r="116" spans="1:11" x14ac:dyDescent="0.3">
      <c r="A116" s="14" t="s">
        <v>104</v>
      </c>
      <c r="K116" s="28"/>
    </row>
    <row r="117" spans="1:11" x14ac:dyDescent="0.3">
      <c r="A117" s="14" t="s">
        <v>113</v>
      </c>
      <c r="K117" s="28"/>
    </row>
    <row r="118" spans="1:11" x14ac:dyDescent="0.3">
      <c r="A118" s="29" t="s">
        <v>114</v>
      </c>
      <c r="B118" s="30"/>
      <c r="C118" s="30"/>
      <c r="D118" s="30"/>
      <c r="E118" s="30"/>
      <c r="F118" s="30"/>
      <c r="G118" s="30"/>
      <c r="H118" s="30"/>
      <c r="I118" s="30"/>
      <c r="J118" s="30"/>
      <c r="K118" s="31"/>
    </row>
    <row r="120" spans="1:11" x14ac:dyDescent="0.3">
      <c r="A120" s="11" t="s">
        <v>116</v>
      </c>
      <c r="B120" s="11" t="s">
        <v>115</v>
      </c>
      <c r="D120" s="11" t="s">
        <v>64</v>
      </c>
    </row>
    <row r="121" spans="1:11" x14ac:dyDescent="0.3">
      <c r="A121" s="25"/>
      <c r="B121" s="26"/>
      <c r="C121" s="26"/>
      <c r="D121" s="26"/>
      <c r="E121" s="26"/>
      <c r="F121" s="26"/>
      <c r="G121" s="26"/>
      <c r="H121" s="26"/>
      <c r="I121" s="26"/>
      <c r="J121" s="26"/>
      <c r="K121" s="27"/>
    </row>
    <row r="122" spans="1:11" x14ac:dyDescent="0.3">
      <c r="A122" s="14"/>
      <c r="K122" s="28"/>
    </row>
    <row r="123" spans="1:11" x14ac:dyDescent="0.3">
      <c r="A123" s="14"/>
      <c r="K123" s="28"/>
    </row>
    <row r="124" spans="1:11" x14ac:dyDescent="0.3">
      <c r="A124" s="29"/>
      <c r="B124" s="30"/>
      <c r="C124" s="30"/>
      <c r="D124" s="30"/>
      <c r="E124" s="30"/>
      <c r="F124" s="30"/>
      <c r="G124" s="30"/>
      <c r="H124" s="30"/>
      <c r="I124" s="30"/>
      <c r="J124" s="30"/>
      <c r="K124" s="31"/>
    </row>
    <row r="126" spans="1:11" ht="17.399999999999999" x14ac:dyDescent="0.3">
      <c r="B126" s="24" t="s">
        <v>18</v>
      </c>
      <c r="F126" s="24" t="s">
        <v>129</v>
      </c>
      <c r="J126" s="24" t="s">
        <v>130</v>
      </c>
    </row>
    <row r="128" spans="1:11" x14ac:dyDescent="0.3">
      <c r="A128" s="25" t="s">
        <v>119</v>
      </c>
      <c r="B128" s="26"/>
      <c r="C128" s="23">
        <v>25</v>
      </c>
      <c r="E128" s="25" t="s">
        <v>0</v>
      </c>
      <c r="F128" s="26" t="s">
        <v>5</v>
      </c>
      <c r="G128" s="23" t="s">
        <v>89</v>
      </c>
      <c r="I128" s="25"/>
      <c r="J128" s="26"/>
      <c r="K128" s="27"/>
    </row>
    <row r="129" spans="1:11" x14ac:dyDescent="0.3">
      <c r="A129" s="14" t="s">
        <v>118</v>
      </c>
      <c r="C129" s="15">
        <v>150</v>
      </c>
      <c r="E129" s="14"/>
      <c r="G129" s="15"/>
      <c r="I129" s="14"/>
      <c r="K129" s="28"/>
    </row>
    <row r="130" spans="1:11" x14ac:dyDescent="0.3">
      <c r="A130" s="14" t="s">
        <v>120</v>
      </c>
      <c r="C130" s="15"/>
      <c r="E130" s="14"/>
      <c r="G130" s="15"/>
      <c r="I130" s="14"/>
      <c r="K130" s="28"/>
    </row>
    <row r="131" spans="1:11" x14ac:dyDescent="0.3">
      <c r="A131" s="14" t="s">
        <v>121</v>
      </c>
      <c r="C131" s="15"/>
      <c r="E131" s="14"/>
      <c r="G131" s="15"/>
      <c r="I131" s="14"/>
      <c r="K131" s="28"/>
    </row>
    <row r="132" spans="1:11" x14ac:dyDescent="0.3">
      <c r="A132" s="14" t="s">
        <v>122</v>
      </c>
      <c r="C132" s="15"/>
      <c r="E132" s="14"/>
      <c r="G132" s="15"/>
      <c r="I132" s="14"/>
      <c r="K132" s="28"/>
    </row>
    <row r="133" spans="1:11" x14ac:dyDescent="0.3">
      <c r="A133" s="14" t="s">
        <v>123</v>
      </c>
      <c r="C133" s="15"/>
      <c r="E133" s="14"/>
      <c r="G133" s="15"/>
      <c r="I133" s="14"/>
      <c r="K133" s="28"/>
    </row>
    <row r="134" spans="1:11" x14ac:dyDescent="0.3">
      <c r="A134" s="14" t="s">
        <v>124</v>
      </c>
      <c r="C134" s="15"/>
      <c r="E134" s="14"/>
      <c r="G134" s="15"/>
      <c r="I134" s="14"/>
      <c r="K134" s="28"/>
    </row>
    <row r="135" spans="1:11" x14ac:dyDescent="0.3">
      <c r="A135" s="14" t="s">
        <v>125</v>
      </c>
      <c r="C135" s="15"/>
      <c r="E135" s="14"/>
      <c r="G135" s="15"/>
      <c r="I135" s="14"/>
      <c r="K135" s="28"/>
    </row>
    <row r="136" spans="1:11" x14ac:dyDescent="0.3">
      <c r="A136" s="14" t="s">
        <v>126</v>
      </c>
      <c r="C136" s="15"/>
      <c r="E136" s="14"/>
      <c r="G136" s="15"/>
      <c r="I136" s="14"/>
      <c r="K136" s="28"/>
    </row>
    <row r="137" spans="1:11" x14ac:dyDescent="0.3">
      <c r="A137" s="14" t="s">
        <v>127</v>
      </c>
      <c r="C137" s="15"/>
      <c r="E137" s="14"/>
      <c r="G137" s="15"/>
      <c r="I137" s="14"/>
      <c r="K137" s="28"/>
    </row>
    <row r="138" spans="1:11" x14ac:dyDescent="0.3">
      <c r="A138" s="29" t="s">
        <v>128</v>
      </c>
      <c r="B138" s="30"/>
      <c r="C138" s="22"/>
      <c r="E138" s="29"/>
      <c r="F138" s="30"/>
      <c r="G138" s="22"/>
      <c r="I138" s="29"/>
      <c r="J138" s="30"/>
      <c r="K138" s="31"/>
    </row>
    <row r="141" spans="1:11" x14ac:dyDescent="0.3">
      <c r="A141" s="32" t="s">
        <v>71</v>
      </c>
    </row>
    <row r="142" spans="1:11" x14ac:dyDescent="0.3">
      <c r="A142" s="83" t="s">
        <v>138</v>
      </c>
      <c r="B142" s="83"/>
      <c r="C142" s="83"/>
      <c r="D142" s="83"/>
      <c r="E142" s="83"/>
      <c r="F142" s="83"/>
      <c r="G142" s="83"/>
      <c r="H142" s="83"/>
      <c r="I142" s="83"/>
      <c r="J142" s="83"/>
      <c r="K142" s="83"/>
    </row>
    <row r="143" spans="1:11" x14ac:dyDescent="0.3">
      <c r="A143" s="83"/>
      <c r="B143" s="83"/>
      <c r="C143" s="83"/>
      <c r="D143" s="83"/>
      <c r="E143" s="83"/>
      <c r="F143" s="83"/>
      <c r="G143" s="83"/>
      <c r="H143" s="83"/>
      <c r="I143" s="83"/>
      <c r="J143" s="83"/>
      <c r="K143" s="83"/>
    </row>
    <row r="144" spans="1:11" x14ac:dyDescent="0.3">
      <c r="A144" s="83"/>
      <c r="B144" s="83"/>
      <c r="C144" s="83"/>
      <c r="D144" s="83"/>
      <c r="E144" s="83"/>
      <c r="F144" s="83"/>
      <c r="G144" s="83"/>
      <c r="H144" s="83"/>
      <c r="I144" s="83"/>
      <c r="J144" s="83"/>
      <c r="K144" s="83"/>
    </row>
    <row r="146" spans="1:11" x14ac:dyDescent="0.3">
      <c r="A146" s="32" t="s">
        <v>7</v>
      </c>
    </row>
    <row r="147" spans="1:11" x14ac:dyDescent="0.3">
      <c r="A147" s="83" t="s">
        <v>135</v>
      </c>
      <c r="B147" s="83"/>
      <c r="C147" s="83"/>
      <c r="D147" s="83"/>
      <c r="E147" s="83"/>
      <c r="F147" s="83"/>
      <c r="G147" s="83"/>
      <c r="H147" s="83"/>
      <c r="I147" s="83"/>
      <c r="J147" s="83"/>
      <c r="K147" s="83"/>
    </row>
    <row r="148" spans="1:11" x14ac:dyDescent="0.3">
      <c r="A148" s="83"/>
      <c r="B148" s="83"/>
      <c r="C148" s="83"/>
      <c r="D148" s="83"/>
      <c r="E148" s="83"/>
      <c r="F148" s="83"/>
      <c r="G148" s="83"/>
      <c r="H148" s="83"/>
      <c r="I148" s="83"/>
      <c r="J148" s="83"/>
      <c r="K148" s="83"/>
    </row>
    <row r="149" spans="1:11" x14ac:dyDescent="0.3">
      <c r="A149" s="83"/>
      <c r="B149" s="83"/>
      <c r="C149" s="83"/>
      <c r="D149" s="83"/>
      <c r="E149" s="83"/>
      <c r="F149" s="83"/>
      <c r="G149" s="83"/>
      <c r="H149" s="83"/>
      <c r="I149" s="83"/>
      <c r="J149" s="83"/>
      <c r="K149" s="83"/>
    </row>
    <row r="150" spans="1:11" ht="17.399999999999999" x14ac:dyDescent="0.3">
      <c r="F150" s="16" t="s">
        <v>117</v>
      </c>
    </row>
    <row r="168" spans="1:2" x14ac:dyDescent="0.3">
      <c r="A168" s="11" t="s">
        <v>233</v>
      </c>
    </row>
    <row r="170" spans="1:2" x14ac:dyDescent="0.3">
      <c r="A170" s="11" t="s">
        <v>234</v>
      </c>
      <c r="B170" s="11" t="s">
        <v>235</v>
      </c>
    </row>
    <row r="171" spans="1:2" x14ac:dyDescent="0.3">
      <c r="A171" s="11" t="s">
        <v>8</v>
      </c>
      <c r="B171" s="11" t="s">
        <v>236</v>
      </c>
    </row>
    <row r="172" spans="1:2" x14ac:dyDescent="0.3">
      <c r="A172" s="11" t="s">
        <v>22</v>
      </c>
      <c r="B172" s="11" t="s">
        <v>237</v>
      </c>
    </row>
    <row r="173" spans="1:2" x14ac:dyDescent="0.3">
      <c r="A173" s="11" t="s">
        <v>58</v>
      </c>
      <c r="B173" s="11" t="s">
        <v>238</v>
      </c>
    </row>
    <row r="174" spans="1:2" x14ac:dyDescent="0.3">
      <c r="A174" s="11" t="s">
        <v>57</v>
      </c>
      <c r="B174" s="11" t="s">
        <v>239</v>
      </c>
    </row>
    <row r="175" spans="1:2" x14ac:dyDescent="0.3">
      <c r="A175" s="11" t="s">
        <v>59</v>
      </c>
      <c r="B175" s="11" t="s">
        <v>237</v>
      </c>
    </row>
    <row r="176" spans="1:2" x14ac:dyDescent="0.3">
      <c r="A176" s="11" t="s">
        <v>240</v>
      </c>
      <c r="B176" s="11" t="s">
        <v>239</v>
      </c>
    </row>
    <row r="177" spans="1:2" x14ac:dyDescent="0.3">
      <c r="A177" s="11" t="s">
        <v>21</v>
      </c>
      <c r="B177" s="11" t="s">
        <v>239</v>
      </c>
    </row>
  </sheetData>
  <mergeCells count="2">
    <mergeCell ref="A142:K144"/>
    <mergeCell ref="A147:K149"/>
  </mergeCells>
  <pageMargins left="0.25" right="0.25"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765C4-F014-4204-8327-F3BDF9D524F0}">
  <sheetPr codeName="Foglio3"/>
  <dimension ref="A1:B110"/>
  <sheetViews>
    <sheetView topLeftCell="A51" workbookViewId="0">
      <selection activeCell="B76" sqref="B76"/>
    </sheetView>
  </sheetViews>
  <sheetFormatPr defaultRowHeight="16.8" x14ac:dyDescent="0.4"/>
  <cols>
    <col min="1" max="1" width="3.44140625" style="51" customWidth="1"/>
    <col min="2" max="2" width="83.33203125" style="53" customWidth="1"/>
  </cols>
  <sheetData>
    <row r="1" spans="1:2" ht="19.2" x14ac:dyDescent="0.45">
      <c r="A1" s="55" t="s">
        <v>268</v>
      </c>
      <c r="B1" s="52"/>
    </row>
    <row r="2" spans="1:2" x14ac:dyDescent="0.4">
      <c r="B2" s="52" t="s">
        <v>277</v>
      </c>
    </row>
    <row r="3" spans="1:2" x14ac:dyDescent="0.4">
      <c r="B3" s="53" t="s">
        <v>278</v>
      </c>
    </row>
    <row r="4" spans="1:2" x14ac:dyDescent="0.4">
      <c r="B4" s="52" t="s">
        <v>279</v>
      </c>
    </row>
    <row r="5" spans="1:2" x14ac:dyDescent="0.4">
      <c r="B5" s="53" t="s">
        <v>280</v>
      </c>
    </row>
    <row r="6" spans="1:2" x14ac:dyDescent="0.4">
      <c r="B6" s="53" t="s">
        <v>281</v>
      </c>
    </row>
    <row r="7" spans="1:2" x14ac:dyDescent="0.4">
      <c r="B7" s="52" t="s">
        <v>282</v>
      </c>
    </row>
    <row r="8" spans="1:2" x14ac:dyDescent="0.4">
      <c r="B8" s="53" t="s">
        <v>283</v>
      </c>
    </row>
    <row r="9" spans="1:2" x14ac:dyDescent="0.4">
      <c r="B9" s="53" t="s">
        <v>284</v>
      </c>
    </row>
    <row r="10" spans="1:2" ht="33.6" x14ac:dyDescent="0.4">
      <c r="B10" s="52" t="s">
        <v>285</v>
      </c>
    </row>
    <row r="11" spans="1:2" ht="33.6" x14ac:dyDescent="0.4">
      <c r="B11" s="53" t="s">
        <v>286</v>
      </c>
    </row>
    <row r="12" spans="1:2" x14ac:dyDescent="0.4">
      <c r="B12" s="51" t="s">
        <v>287</v>
      </c>
    </row>
    <row r="13" spans="1:2" ht="33.6" x14ac:dyDescent="0.4">
      <c r="B13" s="52" t="s">
        <v>288</v>
      </c>
    </row>
    <row r="14" spans="1:2" x14ac:dyDescent="0.4">
      <c r="B14" s="52" t="s">
        <v>289</v>
      </c>
    </row>
    <row r="15" spans="1:2" x14ac:dyDescent="0.4">
      <c r="B15" s="53" t="s">
        <v>290</v>
      </c>
    </row>
    <row r="16" spans="1:2" ht="33.6" x14ac:dyDescent="0.4">
      <c r="B16" s="52" t="s">
        <v>291</v>
      </c>
    </row>
    <row r="18" spans="1:2" ht="19.2" x14ac:dyDescent="0.45">
      <c r="A18" s="55" t="s">
        <v>269</v>
      </c>
    </row>
    <row r="19" spans="1:2" x14ac:dyDescent="0.4">
      <c r="B19" s="52" t="s">
        <v>292</v>
      </c>
    </row>
    <row r="20" spans="1:2" x14ac:dyDescent="0.4">
      <c r="B20" s="53" t="s">
        <v>293</v>
      </c>
    </row>
    <row r="21" spans="1:2" x14ac:dyDescent="0.4">
      <c r="B21" s="53" t="s">
        <v>294</v>
      </c>
    </row>
    <row r="22" spans="1:2" x14ac:dyDescent="0.4">
      <c r="B22" s="52" t="s">
        <v>295</v>
      </c>
    </row>
    <row r="23" spans="1:2" x14ac:dyDescent="0.4">
      <c r="B23" s="53" t="s">
        <v>296</v>
      </c>
    </row>
    <row r="24" spans="1:2" x14ac:dyDescent="0.4">
      <c r="B24" s="52" t="s">
        <v>297</v>
      </c>
    </row>
    <row r="25" spans="1:2" x14ac:dyDescent="0.4">
      <c r="B25" s="53" t="s">
        <v>298</v>
      </c>
    </row>
    <row r="26" spans="1:2" ht="33.6" x14ac:dyDescent="0.4">
      <c r="B26" s="53" t="s">
        <v>299</v>
      </c>
    </row>
    <row r="28" spans="1:2" ht="19.2" x14ac:dyDescent="0.45">
      <c r="A28" s="55" t="s">
        <v>270</v>
      </c>
    </row>
    <row r="29" spans="1:2" x14ac:dyDescent="0.4">
      <c r="B29" s="52" t="s">
        <v>300</v>
      </c>
    </row>
    <row r="30" spans="1:2" x14ac:dyDescent="0.4">
      <c r="B30" s="53" t="s">
        <v>301</v>
      </c>
    </row>
    <row r="31" spans="1:2" x14ac:dyDescent="0.4">
      <c r="B31" s="53" t="s">
        <v>302</v>
      </c>
    </row>
    <row r="32" spans="1:2" x14ac:dyDescent="0.4">
      <c r="B32" s="54" t="s">
        <v>303</v>
      </c>
    </row>
    <row r="33" spans="1:2" x14ac:dyDescent="0.4">
      <c r="B33" s="53" t="s">
        <v>304</v>
      </c>
    </row>
    <row r="35" spans="1:2" x14ac:dyDescent="0.4">
      <c r="A35" s="54" t="s">
        <v>271</v>
      </c>
    </row>
    <row r="36" spans="1:2" x14ac:dyDescent="0.4">
      <c r="B36" s="53" t="s">
        <v>305</v>
      </c>
    </row>
    <row r="37" spans="1:2" x14ac:dyDescent="0.4">
      <c r="B37" s="53" t="s">
        <v>306</v>
      </c>
    </row>
    <row r="38" spans="1:2" ht="33.6" x14ac:dyDescent="0.4">
      <c r="B38" s="53" t="s">
        <v>307</v>
      </c>
    </row>
    <row r="39" spans="1:2" x14ac:dyDescent="0.4">
      <c r="B39" s="53" t="s">
        <v>308</v>
      </c>
    </row>
    <row r="40" spans="1:2" x14ac:dyDescent="0.4">
      <c r="B40" s="53" t="s">
        <v>309</v>
      </c>
    </row>
    <row r="41" spans="1:2" x14ac:dyDescent="0.4">
      <c r="B41" s="51" t="s">
        <v>310</v>
      </c>
    </row>
    <row r="43" spans="1:2" x14ac:dyDescent="0.4">
      <c r="A43" s="54" t="s">
        <v>272</v>
      </c>
    </row>
    <row r="44" spans="1:2" x14ac:dyDescent="0.4">
      <c r="B44" s="51" t="s">
        <v>311</v>
      </c>
    </row>
    <row r="45" spans="1:2" x14ac:dyDescent="0.4">
      <c r="B45" s="51" t="s">
        <v>312</v>
      </c>
    </row>
    <row r="46" spans="1:2" x14ac:dyDescent="0.4">
      <c r="B46" s="51" t="s">
        <v>313</v>
      </c>
    </row>
    <row r="47" spans="1:2" x14ac:dyDescent="0.4">
      <c r="B47" s="51" t="s">
        <v>314</v>
      </c>
    </row>
    <row r="48" spans="1:2" x14ac:dyDescent="0.4">
      <c r="B48" s="51" t="s">
        <v>315</v>
      </c>
    </row>
    <row r="49" spans="1:2" x14ac:dyDescent="0.4">
      <c r="B49" s="51" t="s">
        <v>316</v>
      </c>
    </row>
    <row r="50" spans="1:2" x14ac:dyDescent="0.4">
      <c r="B50" s="51" t="s">
        <v>317</v>
      </c>
    </row>
    <row r="51" spans="1:2" x14ac:dyDescent="0.4">
      <c r="B51" s="51" t="s">
        <v>318</v>
      </c>
    </row>
    <row r="53" spans="1:2" x14ac:dyDescent="0.4">
      <c r="A53" s="54" t="s">
        <v>273</v>
      </c>
    </row>
    <row r="54" spans="1:2" x14ac:dyDescent="0.4">
      <c r="B54" s="51" t="s">
        <v>319</v>
      </c>
    </row>
    <row r="55" spans="1:2" x14ac:dyDescent="0.4">
      <c r="B55" s="51" t="s">
        <v>320</v>
      </c>
    </row>
    <row r="56" spans="1:2" x14ac:dyDescent="0.4">
      <c r="B56" s="51" t="s">
        <v>321</v>
      </c>
    </row>
    <row r="57" spans="1:2" x14ac:dyDescent="0.4">
      <c r="B57" s="51" t="s">
        <v>322</v>
      </c>
    </row>
    <row r="58" spans="1:2" x14ac:dyDescent="0.4">
      <c r="B58" s="51" t="s">
        <v>323</v>
      </c>
    </row>
    <row r="59" spans="1:2" x14ac:dyDescent="0.4">
      <c r="B59" s="51" t="s">
        <v>324</v>
      </c>
    </row>
    <row r="60" spans="1:2" x14ac:dyDescent="0.4">
      <c r="B60" s="51" t="s">
        <v>325</v>
      </c>
    </row>
    <row r="62" spans="1:2" x14ac:dyDescent="0.4">
      <c r="A62" s="54" t="s">
        <v>274</v>
      </c>
    </row>
    <row r="63" spans="1:2" x14ac:dyDescent="0.4">
      <c r="B63" s="53" t="s">
        <v>326</v>
      </c>
    </row>
    <row r="64" spans="1:2" x14ac:dyDescent="0.4">
      <c r="B64" s="53" t="s">
        <v>327</v>
      </c>
    </row>
    <row r="65" spans="2:2" x14ac:dyDescent="0.4">
      <c r="B65" s="53" t="s">
        <v>328</v>
      </c>
    </row>
    <row r="66" spans="2:2" x14ac:dyDescent="0.4">
      <c r="B66" s="53" t="s">
        <v>329</v>
      </c>
    </row>
    <row r="86" spans="2:2" x14ac:dyDescent="0.4">
      <c r="B86" s="53" t="s">
        <v>275</v>
      </c>
    </row>
    <row r="88" spans="2:2" x14ac:dyDescent="0.4">
      <c r="B88" s="53" t="s">
        <v>330</v>
      </c>
    </row>
    <row r="89" spans="2:2" x14ac:dyDescent="0.4">
      <c r="B89" s="53" t="s">
        <v>331</v>
      </c>
    </row>
    <row r="90" spans="2:2" x14ac:dyDescent="0.4">
      <c r="B90" s="53" t="s">
        <v>332</v>
      </c>
    </row>
    <row r="91" spans="2:2" x14ac:dyDescent="0.4">
      <c r="B91" s="53" t="s">
        <v>333</v>
      </c>
    </row>
    <row r="92" spans="2:2" x14ac:dyDescent="0.4">
      <c r="B92" s="53" t="s">
        <v>334</v>
      </c>
    </row>
    <row r="93" spans="2:2" ht="33.6" x14ac:dyDescent="0.4">
      <c r="B93" s="53" t="s">
        <v>335</v>
      </c>
    </row>
    <row r="94" spans="2:2" x14ac:dyDescent="0.4">
      <c r="B94" s="53" t="s">
        <v>336</v>
      </c>
    </row>
    <row r="98" spans="2:2" x14ac:dyDescent="0.4">
      <c r="B98" s="53" t="s">
        <v>276</v>
      </c>
    </row>
    <row r="100" spans="2:2" x14ac:dyDescent="0.4">
      <c r="B100" s="53" t="s">
        <v>337</v>
      </c>
    </row>
    <row r="102" spans="2:2" x14ac:dyDescent="0.4">
      <c r="B102" s="53" t="s">
        <v>338</v>
      </c>
    </row>
    <row r="104" spans="2:2" x14ac:dyDescent="0.4">
      <c r="B104" s="53" t="s">
        <v>339</v>
      </c>
    </row>
    <row r="106" spans="2:2" x14ac:dyDescent="0.4">
      <c r="B106" s="53" t="s">
        <v>340</v>
      </c>
    </row>
    <row r="108" spans="2:2" x14ac:dyDescent="0.4">
      <c r="B108" s="53" t="s">
        <v>341</v>
      </c>
    </row>
    <row r="110" spans="2:2" ht="33.6" x14ac:dyDescent="0.4">
      <c r="B110" s="53" t="s">
        <v>342</v>
      </c>
    </row>
  </sheetData>
  <pageMargins left="0.25" right="0.25"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51DFD-0677-48BC-BE67-FCB74B646958}">
  <sheetPr codeName="Foglio5"/>
  <dimension ref="A1:X127"/>
  <sheetViews>
    <sheetView workbookViewId="0">
      <selection activeCell="AB53" sqref="AA53:AB53"/>
    </sheetView>
  </sheetViews>
  <sheetFormatPr defaultRowHeight="15.6" x14ac:dyDescent="0.35"/>
  <cols>
    <col min="1" max="1" width="21.77734375" style="64" customWidth="1"/>
    <col min="2" max="6" width="2.5546875" customWidth="1"/>
    <col min="7" max="7" width="4.21875" customWidth="1"/>
    <col min="8" max="12" width="2.5546875" customWidth="1"/>
    <col min="13" max="13" width="4.21875" customWidth="1"/>
    <col min="14" max="14" width="16.44140625" customWidth="1"/>
    <col min="15" max="27" width="2.5546875" customWidth="1"/>
  </cols>
  <sheetData>
    <row r="1" spans="1:24" x14ac:dyDescent="0.35">
      <c r="A1" s="72" t="s">
        <v>347</v>
      </c>
      <c r="N1" s="72" t="s">
        <v>58</v>
      </c>
    </row>
    <row r="3" spans="1:24" x14ac:dyDescent="0.3">
      <c r="A3" s="65" t="s">
        <v>12</v>
      </c>
      <c r="B3" s="66"/>
      <c r="C3" s="67"/>
      <c r="D3" s="66"/>
      <c r="E3" s="68"/>
      <c r="F3" s="66"/>
      <c r="G3" s="4"/>
      <c r="H3" s="66"/>
      <c r="I3" s="68"/>
      <c r="J3" s="68"/>
      <c r="K3" s="68"/>
      <c r="L3" s="68"/>
      <c r="N3" s="65" t="s">
        <v>348</v>
      </c>
      <c r="O3" s="68"/>
      <c r="P3" s="68"/>
      <c r="Q3" s="68"/>
      <c r="R3" s="68"/>
      <c r="S3" s="68"/>
      <c r="T3" s="68"/>
      <c r="U3" s="68"/>
      <c r="V3" s="68"/>
      <c r="W3" s="68"/>
      <c r="X3" s="68"/>
    </row>
    <row r="4" spans="1:24" x14ac:dyDescent="0.3">
      <c r="A4" s="65" t="s">
        <v>15</v>
      </c>
      <c r="B4" s="66"/>
      <c r="C4" s="67"/>
      <c r="D4" s="66"/>
      <c r="E4" s="68"/>
      <c r="F4" s="66"/>
      <c r="G4" s="4"/>
      <c r="H4" s="66"/>
      <c r="I4" s="68"/>
      <c r="J4" s="68"/>
      <c r="K4" s="68"/>
      <c r="L4" s="68"/>
      <c r="N4" s="65" t="s">
        <v>349</v>
      </c>
      <c r="O4" s="68"/>
      <c r="P4" s="68"/>
      <c r="Q4" s="68"/>
      <c r="R4" s="68"/>
      <c r="S4" s="68"/>
      <c r="T4" s="68"/>
      <c r="U4" s="68"/>
      <c r="V4" s="68"/>
      <c r="W4" s="68"/>
      <c r="X4" s="68"/>
    </row>
    <row r="5" spans="1:24" x14ac:dyDescent="0.3">
      <c r="A5" s="65" t="s">
        <v>16</v>
      </c>
      <c r="B5" s="66"/>
      <c r="C5" s="67"/>
      <c r="D5" s="66"/>
      <c r="E5" s="68"/>
      <c r="F5" s="66"/>
      <c r="G5" s="4"/>
      <c r="H5" s="66"/>
      <c r="I5" s="68"/>
      <c r="J5" s="68"/>
      <c r="K5" s="68"/>
      <c r="L5" s="68"/>
      <c r="N5" s="65" t="s">
        <v>350</v>
      </c>
      <c r="O5" s="68"/>
      <c r="P5" s="68"/>
      <c r="Q5" s="68"/>
      <c r="R5" s="68"/>
      <c r="S5" s="68"/>
      <c r="T5" s="68"/>
      <c r="U5" s="68"/>
      <c r="V5" s="68"/>
      <c r="W5" s="68"/>
      <c r="X5" s="68"/>
    </row>
    <row r="6" spans="1:24" x14ac:dyDescent="0.3">
      <c r="A6" s="65" t="s">
        <v>13</v>
      </c>
      <c r="B6" s="68"/>
      <c r="C6" s="68"/>
      <c r="D6" s="68"/>
      <c r="E6" s="68"/>
      <c r="F6" s="68"/>
      <c r="H6" s="68"/>
      <c r="I6" s="68"/>
      <c r="J6" s="68"/>
      <c r="K6" s="68"/>
      <c r="L6" s="68"/>
      <c r="N6" s="65" t="s">
        <v>351</v>
      </c>
      <c r="O6" s="68"/>
      <c r="P6" s="68"/>
      <c r="Q6" s="68"/>
      <c r="R6" s="68"/>
      <c r="S6" s="68"/>
      <c r="T6" s="68"/>
      <c r="U6" s="68"/>
      <c r="V6" s="68"/>
      <c r="W6" s="68"/>
      <c r="X6" s="68"/>
    </row>
    <row r="7" spans="1:24" x14ac:dyDescent="0.3">
      <c r="A7" s="65" t="s">
        <v>17</v>
      </c>
      <c r="B7" s="68"/>
      <c r="C7" s="68"/>
      <c r="D7" s="68"/>
      <c r="E7" s="68"/>
      <c r="F7" s="68"/>
      <c r="H7" s="68"/>
      <c r="I7" s="68"/>
      <c r="J7" s="68"/>
      <c r="K7" s="68"/>
      <c r="L7" s="68"/>
      <c r="N7" s="65" t="s">
        <v>142</v>
      </c>
      <c r="O7" s="68"/>
      <c r="P7" s="68"/>
      <c r="Q7" s="68"/>
      <c r="R7" s="68"/>
      <c r="S7" s="68"/>
      <c r="T7" s="68"/>
      <c r="U7" s="68"/>
      <c r="V7" s="68"/>
      <c r="W7" s="68"/>
      <c r="X7" s="68"/>
    </row>
    <row r="8" spans="1:24" x14ac:dyDescent="0.3">
      <c r="A8" s="65" t="s">
        <v>18</v>
      </c>
      <c r="B8" s="68"/>
      <c r="C8" s="68"/>
      <c r="D8" s="68"/>
      <c r="E8" s="68"/>
      <c r="F8" s="68"/>
      <c r="H8" s="68"/>
      <c r="I8" s="68"/>
      <c r="J8" s="68"/>
      <c r="K8" s="68"/>
      <c r="L8" s="68"/>
      <c r="N8" s="65" t="s">
        <v>359</v>
      </c>
      <c r="O8" s="68"/>
      <c r="P8" s="68"/>
      <c r="Q8" s="68"/>
      <c r="R8" s="68"/>
      <c r="S8" s="68"/>
      <c r="T8" s="68"/>
      <c r="U8" s="68"/>
      <c r="V8" s="68"/>
      <c r="W8" s="68"/>
      <c r="X8" s="68"/>
    </row>
    <row r="9" spans="1:24" x14ac:dyDescent="0.3">
      <c r="A9" s="65" t="s">
        <v>14</v>
      </c>
      <c r="B9" s="68"/>
      <c r="C9" s="68"/>
      <c r="D9" s="68"/>
      <c r="E9" s="68"/>
      <c r="F9" s="68"/>
      <c r="H9" s="68"/>
      <c r="I9" s="68"/>
      <c r="J9" s="68"/>
      <c r="K9" s="68"/>
      <c r="L9" s="68"/>
      <c r="N9" s="65" t="s">
        <v>360</v>
      </c>
      <c r="O9" s="68"/>
      <c r="P9" s="68"/>
      <c r="Q9" s="68"/>
      <c r="R9" s="68"/>
      <c r="S9" s="68"/>
      <c r="T9" s="68"/>
      <c r="U9" s="68"/>
      <c r="V9" s="68"/>
      <c r="W9" s="68"/>
      <c r="X9" s="68"/>
    </row>
    <row r="10" spans="1:24" x14ac:dyDescent="0.3">
      <c r="A10" s="65" t="s">
        <v>19</v>
      </c>
      <c r="B10" s="68"/>
      <c r="C10" s="68"/>
      <c r="D10" s="68"/>
      <c r="E10" s="68"/>
      <c r="F10" s="68"/>
      <c r="H10" s="68"/>
      <c r="I10" s="68"/>
      <c r="J10" s="68"/>
      <c r="K10" s="68"/>
      <c r="L10" s="68"/>
      <c r="N10" s="65" t="s">
        <v>352</v>
      </c>
      <c r="O10" s="68"/>
      <c r="P10" s="68"/>
      <c r="Q10" s="68"/>
      <c r="R10" s="68"/>
      <c r="S10" s="68"/>
      <c r="T10" s="68"/>
      <c r="U10" s="68"/>
      <c r="V10" s="68"/>
      <c r="W10" s="68"/>
      <c r="X10" s="68"/>
    </row>
    <row r="11" spans="1:24" x14ac:dyDescent="0.3">
      <c r="A11" s="65" t="s">
        <v>20</v>
      </c>
      <c r="B11" s="68"/>
      <c r="C11" s="68"/>
      <c r="D11" s="68"/>
      <c r="E11" s="68"/>
      <c r="F11" s="68"/>
      <c r="H11" s="68"/>
      <c r="I11" s="68"/>
      <c r="J11" s="68"/>
      <c r="K11" s="68"/>
      <c r="L11" s="68"/>
      <c r="N11" s="65" t="s">
        <v>144</v>
      </c>
      <c r="O11" s="68"/>
      <c r="P11" s="68"/>
      <c r="Q11" s="68"/>
      <c r="R11" s="68"/>
      <c r="S11" s="68"/>
      <c r="T11" s="68"/>
      <c r="U11" s="68"/>
      <c r="V11" s="68"/>
      <c r="W11" s="68"/>
      <c r="X11" s="68"/>
    </row>
    <row r="12" spans="1:24" x14ac:dyDescent="0.3">
      <c r="A12" s="65"/>
      <c r="N12" s="65" t="s">
        <v>353</v>
      </c>
      <c r="O12" s="68"/>
      <c r="P12" s="68"/>
      <c r="Q12" s="68"/>
      <c r="R12" s="68"/>
      <c r="S12" s="68"/>
      <c r="T12" s="68"/>
      <c r="U12" s="68"/>
      <c r="V12" s="68"/>
      <c r="W12" s="68"/>
      <c r="X12" s="68"/>
    </row>
    <row r="13" spans="1:24" x14ac:dyDescent="0.3">
      <c r="A13" s="65" t="s">
        <v>24</v>
      </c>
      <c r="B13" s="68"/>
      <c r="C13" s="68"/>
      <c r="D13" s="68"/>
      <c r="E13" s="68"/>
      <c r="F13" s="68"/>
      <c r="H13" s="68"/>
      <c r="I13" s="68"/>
      <c r="J13" s="68"/>
      <c r="K13" s="68"/>
      <c r="L13" s="68"/>
      <c r="N13" s="65" t="s">
        <v>361</v>
      </c>
      <c r="O13" s="68"/>
      <c r="P13" s="68"/>
      <c r="Q13" s="68"/>
      <c r="R13" s="68"/>
      <c r="S13" s="68"/>
      <c r="T13" s="68"/>
      <c r="U13" s="68"/>
      <c r="V13" s="68"/>
      <c r="W13" s="68"/>
      <c r="X13" s="68"/>
    </row>
    <row r="14" spans="1:24" x14ac:dyDescent="0.3">
      <c r="A14" s="65" t="s">
        <v>33</v>
      </c>
      <c r="B14" s="68"/>
      <c r="C14" s="68"/>
      <c r="D14" s="68"/>
      <c r="E14" s="68"/>
      <c r="F14" s="68"/>
      <c r="H14" s="68"/>
      <c r="I14" s="68"/>
      <c r="J14" s="68"/>
      <c r="K14" s="68"/>
      <c r="L14" s="68"/>
      <c r="N14" s="65" t="s">
        <v>362</v>
      </c>
      <c r="O14" s="68"/>
      <c r="P14" s="68"/>
      <c r="Q14" s="68"/>
      <c r="R14" s="68"/>
      <c r="S14" s="68"/>
      <c r="T14" s="68"/>
      <c r="U14" s="68"/>
      <c r="V14" s="68"/>
      <c r="W14" s="68"/>
      <c r="X14" s="68"/>
    </row>
    <row r="15" spans="1:24" x14ac:dyDescent="0.3">
      <c r="A15" s="65" t="s">
        <v>53</v>
      </c>
      <c r="B15" s="68"/>
      <c r="C15" s="68"/>
      <c r="D15" s="68"/>
      <c r="E15" s="68"/>
      <c r="F15" s="68"/>
      <c r="H15" s="68"/>
      <c r="I15" s="68"/>
      <c r="J15" s="68"/>
      <c r="K15" s="68"/>
      <c r="L15" s="68"/>
      <c r="N15" s="65" t="s">
        <v>354</v>
      </c>
      <c r="O15" s="68"/>
      <c r="P15" s="68"/>
      <c r="Q15" s="68"/>
      <c r="R15" s="68"/>
      <c r="S15" s="68"/>
      <c r="T15" s="68"/>
      <c r="U15" s="68"/>
      <c r="V15" s="68"/>
      <c r="W15" s="68"/>
      <c r="X15" s="68"/>
    </row>
    <row r="16" spans="1:24" x14ac:dyDescent="0.3">
      <c r="A16" s="65" t="s">
        <v>27</v>
      </c>
      <c r="B16" s="68"/>
      <c r="C16" s="68"/>
      <c r="D16" s="68"/>
      <c r="E16" s="68"/>
      <c r="F16" s="68"/>
      <c r="H16" s="68"/>
      <c r="I16" s="68"/>
      <c r="J16" s="68"/>
      <c r="K16" s="68"/>
      <c r="L16" s="68"/>
      <c r="N16" s="65" t="s">
        <v>355</v>
      </c>
      <c r="O16" s="68"/>
      <c r="P16" s="68"/>
      <c r="Q16" s="68"/>
      <c r="R16" s="68"/>
      <c r="S16" s="68"/>
      <c r="T16" s="68"/>
      <c r="U16" s="68"/>
      <c r="V16" s="68"/>
      <c r="W16" s="68"/>
      <c r="X16" s="68"/>
    </row>
    <row r="17" spans="1:24" x14ac:dyDescent="0.3">
      <c r="A17" s="65" t="s">
        <v>28</v>
      </c>
      <c r="B17" s="68"/>
      <c r="C17" s="68"/>
      <c r="D17" s="68"/>
      <c r="E17" s="68"/>
      <c r="F17" s="68"/>
      <c r="H17" s="68"/>
      <c r="I17" s="68"/>
      <c r="J17" s="68"/>
      <c r="K17" s="68"/>
      <c r="L17" s="68"/>
      <c r="N17" s="65" t="s">
        <v>356</v>
      </c>
      <c r="O17" s="68"/>
      <c r="P17" s="68"/>
      <c r="Q17" s="68"/>
      <c r="R17" s="68"/>
      <c r="S17" s="68"/>
      <c r="T17" s="68"/>
      <c r="U17" s="68"/>
      <c r="V17" s="68"/>
      <c r="W17" s="68"/>
      <c r="X17" s="68"/>
    </row>
    <row r="18" spans="1:24" x14ac:dyDescent="0.3">
      <c r="A18" s="65" t="s">
        <v>29</v>
      </c>
      <c r="B18" s="68"/>
      <c r="C18" s="68"/>
      <c r="D18" s="68"/>
      <c r="E18" s="68"/>
      <c r="F18" s="68"/>
      <c r="H18" s="68"/>
      <c r="I18" s="68"/>
      <c r="J18" s="68"/>
      <c r="K18" s="68"/>
      <c r="L18" s="68"/>
      <c r="N18" s="65" t="s">
        <v>357</v>
      </c>
      <c r="O18" s="68"/>
      <c r="P18" s="68"/>
      <c r="Q18" s="68"/>
      <c r="R18" s="68"/>
      <c r="S18" s="68"/>
      <c r="T18" s="68"/>
      <c r="U18" s="68"/>
      <c r="V18" s="68"/>
      <c r="W18" s="68"/>
      <c r="X18" s="68"/>
    </row>
    <row r="19" spans="1:24" x14ac:dyDescent="0.3">
      <c r="A19" s="65" t="s">
        <v>25</v>
      </c>
      <c r="B19" s="68"/>
      <c r="C19" s="68"/>
      <c r="D19" s="68"/>
      <c r="E19" s="68"/>
      <c r="F19" s="68"/>
      <c r="H19" s="68"/>
      <c r="I19" s="68"/>
      <c r="J19" s="68"/>
      <c r="K19" s="68"/>
      <c r="L19" s="68"/>
      <c r="N19" s="65" t="s">
        <v>358</v>
      </c>
      <c r="O19" s="68"/>
      <c r="P19" s="68"/>
      <c r="Q19" s="68"/>
      <c r="R19" s="68"/>
      <c r="S19" s="68"/>
      <c r="T19" s="68"/>
      <c r="U19" s="68"/>
      <c r="V19" s="68"/>
      <c r="W19" s="68"/>
      <c r="X19" s="68"/>
    </row>
    <row r="20" spans="1:24" x14ac:dyDescent="0.3">
      <c r="A20" s="65" t="s">
        <v>26</v>
      </c>
      <c r="B20" s="68"/>
      <c r="C20" s="68"/>
      <c r="D20" s="68"/>
      <c r="E20" s="68"/>
      <c r="F20" s="68"/>
      <c r="H20" s="68"/>
      <c r="I20" s="68"/>
      <c r="J20" s="68"/>
      <c r="K20" s="68"/>
      <c r="L20" s="68"/>
      <c r="N20" s="65"/>
    </row>
    <row r="21" spans="1:24" x14ac:dyDescent="0.3">
      <c r="A21" s="65" t="s">
        <v>38</v>
      </c>
      <c r="B21" s="68"/>
      <c r="C21" s="68"/>
      <c r="D21" s="68"/>
      <c r="E21" s="68"/>
      <c r="F21" s="68"/>
      <c r="H21" s="68"/>
      <c r="I21" s="68"/>
      <c r="J21" s="68"/>
      <c r="K21" s="68"/>
      <c r="L21" s="68"/>
      <c r="N21" s="69" t="s">
        <v>373</v>
      </c>
      <c r="O21" s="68"/>
      <c r="P21" s="68"/>
      <c r="Q21" s="68"/>
      <c r="R21" s="68"/>
      <c r="S21" s="68"/>
      <c r="T21" s="68"/>
      <c r="U21" s="68"/>
      <c r="V21" s="68"/>
      <c r="W21" s="68"/>
      <c r="X21" s="68"/>
    </row>
    <row r="22" spans="1:24" x14ac:dyDescent="0.3">
      <c r="A22" s="65" t="s">
        <v>30</v>
      </c>
      <c r="B22" s="68"/>
      <c r="C22" s="68"/>
      <c r="D22" s="68"/>
      <c r="E22" s="68"/>
      <c r="F22" s="68"/>
      <c r="H22" s="68"/>
      <c r="I22" s="68"/>
      <c r="J22" s="68"/>
      <c r="K22" s="68"/>
      <c r="L22" s="68"/>
      <c r="N22" s="69"/>
      <c r="O22" s="68"/>
      <c r="P22" s="68"/>
      <c r="Q22" s="68"/>
      <c r="R22" s="68"/>
      <c r="S22" s="68"/>
      <c r="T22" s="68"/>
      <c r="U22" s="68"/>
      <c r="V22" s="68"/>
      <c r="W22" s="68"/>
      <c r="X22" s="68"/>
    </row>
    <row r="23" spans="1:24" x14ac:dyDescent="0.3">
      <c r="A23" s="65"/>
      <c r="N23" s="69"/>
      <c r="O23" s="68"/>
      <c r="P23" s="68"/>
      <c r="Q23" s="68"/>
      <c r="R23" s="68"/>
      <c r="S23" s="68"/>
      <c r="T23" s="68"/>
      <c r="U23" s="68"/>
      <c r="V23" s="68"/>
      <c r="W23" s="68"/>
      <c r="X23" s="68"/>
    </row>
    <row r="24" spans="1:24" x14ac:dyDescent="0.3">
      <c r="A24" s="65" t="s">
        <v>31</v>
      </c>
      <c r="B24" s="68"/>
      <c r="C24" s="68"/>
      <c r="D24" s="68"/>
      <c r="E24" s="68"/>
      <c r="F24" s="68"/>
      <c r="H24" s="68"/>
      <c r="I24" s="68"/>
      <c r="J24" s="68"/>
      <c r="K24" s="68"/>
      <c r="L24" s="68"/>
      <c r="N24" s="69"/>
      <c r="O24" s="68"/>
      <c r="P24" s="68"/>
      <c r="Q24" s="68"/>
      <c r="R24" s="68"/>
      <c r="S24" s="68"/>
      <c r="T24" s="68"/>
      <c r="U24" s="68"/>
      <c r="V24" s="68"/>
      <c r="W24" s="68"/>
      <c r="X24" s="68"/>
    </row>
    <row r="25" spans="1:24" x14ac:dyDescent="0.3">
      <c r="A25" s="65" t="s">
        <v>34</v>
      </c>
      <c r="B25" s="68"/>
      <c r="C25" s="68"/>
      <c r="D25" s="68"/>
      <c r="E25" s="68"/>
      <c r="F25" s="68"/>
      <c r="H25" s="68"/>
      <c r="I25" s="68"/>
      <c r="J25" s="68"/>
      <c r="K25" s="68"/>
      <c r="L25" s="68"/>
      <c r="N25" s="70"/>
      <c r="O25" s="68"/>
      <c r="P25" s="68"/>
      <c r="Q25" s="68"/>
      <c r="R25" s="68"/>
      <c r="S25" s="68"/>
      <c r="T25" s="68"/>
      <c r="U25" s="68"/>
      <c r="V25" s="68"/>
      <c r="W25" s="68"/>
      <c r="X25" s="68"/>
    </row>
    <row r="26" spans="1:24" x14ac:dyDescent="0.3">
      <c r="A26" s="65" t="s">
        <v>36</v>
      </c>
      <c r="B26" s="68"/>
      <c r="C26" s="68"/>
      <c r="D26" s="68"/>
      <c r="E26" s="68"/>
      <c r="F26" s="68"/>
      <c r="H26" s="68"/>
      <c r="I26" s="68"/>
      <c r="J26" s="68"/>
      <c r="K26" s="68"/>
      <c r="L26" s="68"/>
      <c r="N26" s="71"/>
      <c r="O26" s="68"/>
      <c r="P26" s="68"/>
      <c r="Q26" s="68"/>
      <c r="R26" s="68"/>
      <c r="S26" s="68"/>
      <c r="T26" s="68"/>
      <c r="U26" s="68"/>
      <c r="V26" s="68"/>
      <c r="W26" s="68"/>
      <c r="X26" s="68"/>
    </row>
    <row r="27" spans="1:24" x14ac:dyDescent="0.3">
      <c r="A27" s="65" t="s">
        <v>39</v>
      </c>
      <c r="B27" s="68"/>
      <c r="C27" s="68"/>
      <c r="D27" s="68"/>
      <c r="E27" s="68"/>
      <c r="F27" s="68"/>
      <c r="H27" s="68"/>
      <c r="I27" s="68"/>
      <c r="J27" s="68"/>
      <c r="K27" s="68"/>
      <c r="L27" s="68"/>
      <c r="N27" s="70"/>
      <c r="O27" s="68"/>
      <c r="P27" s="68"/>
      <c r="Q27" s="68"/>
      <c r="R27" s="68"/>
      <c r="S27" s="68"/>
      <c r="T27" s="68"/>
      <c r="U27" s="68"/>
      <c r="V27" s="68"/>
      <c r="W27" s="68"/>
      <c r="X27" s="68"/>
    </row>
    <row r="28" spans="1:24" x14ac:dyDescent="0.3">
      <c r="A28" s="65" t="s">
        <v>40</v>
      </c>
      <c r="B28" s="68"/>
      <c r="C28" s="68"/>
      <c r="D28" s="68"/>
      <c r="E28" s="68"/>
      <c r="F28" s="68"/>
      <c r="H28" s="68"/>
      <c r="I28" s="68"/>
      <c r="J28" s="68"/>
      <c r="K28" s="68"/>
      <c r="L28" s="68"/>
      <c r="N28" s="71"/>
      <c r="O28" s="68"/>
      <c r="P28" s="68"/>
      <c r="Q28" s="68"/>
      <c r="R28" s="68"/>
      <c r="S28" s="68"/>
      <c r="T28" s="68"/>
      <c r="U28" s="68"/>
      <c r="V28" s="68"/>
      <c r="W28" s="68"/>
      <c r="X28" s="68"/>
    </row>
    <row r="29" spans="1:24" x14ac:dyDescent="0.3">
      <c r="A29" s="65" t="s">
        <v>41</v>
      </c>
      <c r="B29" s="68"/>
      <c r="C29" s="68"/>
      <c r="D29" s="68"/>
      <c r="E29" s="68"/>
      <c r="F29" s="68"/>
      <c r="H29" s="68"/>
      <c r="I29" s="68"/>
      <c r="J29" s="68"/>
      <c r="K29" s="68"/>
      <c r="L29" s="68"/>
      <c r="N29" s="70"/>
      <c r="O29" s="68"/>
      <c r="P29" s="68"/>
      <c r="Q29" s="68"/>
      <c r="R29" s="68"/>
      <c r="S29" s="68"/>
      <c r="T29" s="68"/>
      <c r="U29" s="68"/>
      <c r="V29" s="68"/>
      <c r="W29" s="68"/>
      <c r="X29" s="68"/>
    </row>
    <row r="30" spans="1:24" x14ac:dyDescent="0.3">
      <c r="A30" s="65" t="s">
        <v>42</v>
      </c>
      <c r="B30" s="68"/>
      <c r="C30" s="68"/>
      <c r="D30" s="68"/>
      <c r="E30" s="68"/>
      <c r="F30" s="68"/>
      <c r="H30" s="68"/>
      <c r="I30" s="68"/>
      <c r="J30" s="68"/>
      <c r="K30" s="68"/>
      <c r="L30" s="68"/>
      <c r="N30" s="71"/>
      <c r="O30" s="68"/>
      <c r="P30" s="68"/>
      <c r="Q30" s="68"/>
      <c r="R30" s="68"/>
      <c r="S30" s="68"/>
      <c r="T30" s="68"/>
      <c r="U30" s="68"/>
      <c r="V30" s="68"/>
      <c r="W30" s="68"/>
      <c r="X30" s="68"/>
    </row>
    <row r="31" spans="1:24" x14ac:dyDescent="0.3">
      <c r="A31" s="65" t="s">
        <v>43</v>
      </c>
      <c r="B31" s="68"/>
      <c r="C31" s="68"/>
      <c r="D31" s="68"/>
      <c r="E31" s="68"/>
      <c r="F31" s="68"/>
      <c r="H31" s="68"/>
      <c r="I31" s="68"/>
      <c r="J31" s="68"/>
      <c r="K31" s="68"/>
      <c r="L31" s="68"/>
      <c r="N31" s="70"/>
      <c r="O31" s="68"/>
      <c r="P31" s="68"/>
      <c r="Q31" s="68"/>
      <c r="R31" s="68"/>
      <c r="S31" s="68"/>
      <c r="T31" s="68"/>
      <c r="U31" s="68"/>
      <c r="V31" s="68"/>
      <c r="W31" s="68"/>
      <c r="X31" s="68"/>
    </row>
    <row r="32" spans="1:24" x14ac:dyDescent="0.3">
      <c r="A32" s="65" t="s">
        <v>44</v>
      </c>
      <c r="B32" s="68"/>
      <c r="C32" s="68"/>
      <c r="D32" s="68"/>
      <c r="E32" s="68"/>
      <c r="F32" s="68"/>
      <c r="H32" s="68"/>
      <c r="I32" s="68"/>
      <c r="J32" s="68"/>
      <c r="K32" s="68"/>
      <c r="L32" s="68"/>
      <c r="N32" s="71"/>
      <c r="O32" s="68"/>
      <c r="P32" s="68"/>
      <c r="Q32" s="68"/>
      <c r="R32" s="68"/>
      <c r="S32" s="68"/>
      <c r="T32" s="68"/>
      <c r="U32" s="68"/>
      <c r="V32" s="68"/>
      <c r="W32" s="68"/>
      <c r="X32" s="68"/>
    </row>
    <row r="33" spans="1:24" x14ac:dyDescent="0.3">
      <c r="A33" s="65" t="s">
        <v>45</v>
      </c>
      <c r="B33" s="68"/>
      <c r="C33" s="68"/>
      <c r="D33" s="68"/>
      <c r="E33" s="68"/>
      <c r="F33" s="68"/>
      <c r="H33" s="68"/>
      <c r="I33" s="68"/>
      <c r="J33" s="68"/>
      <c r="K33" s="68"/>
      <c r="L33" s="68"/>
      <c r="N33" s="70"/>
      <c r="O33" s="68"/>
      <c r="P33" s="68"/>
      <c r="Q33" s="68"/>
      <c r="R33" s="68"/>
      <c r="S33" s="68"/>
      <c r="T33" s="68"/>
      <c r="U33" s="68"/>
      <c r="V33" s="68"/>
      <c r="W33" s="68"/>
      <c r="X33" s="68"/>
    </row>
    <row r="34" spans="1:24" x14ac:dyDescent="0.3">
      <c r="A34" s="65"/>
      <c r="N34" s="71"/>
      <c r="O34" s="68"/>
      <c r="P34" s="68"/>
      <c r="Q34" s="68"/>
      <c r="R34" s="68"/>
      <c r="S34" s="68"/>
      <c r="T34" s="68"/>
      <c r="U34" s="68"/>
      <c r="V34" s="68"/>
      <c r="W34" s="68"/>
      <c r="X34" s="68"/>
    </row>
    <row r="35" spans="1:24" x14ac:dyDescent="0.3">
      <c r="A35" s="65" t="s">
        <v>32</v>
      </c>
      <c r="B35" s="68"/>
      <c r="C35" s="68"/>
      <c r="D35" s="68"/>
      <c r="E35" s="68"/>
      <c r="F35" s="68"/>
      <c r="H35" s="68"/>
      <c r="I35" s="68"/>
      <c r="J35" s="68"/>
      <c r="K35" s="68"/>
      <c r="L35" s="68"/>
      <c r="N35" s="70"/>
      <c r="O35" s="68"/>
      <c r="P35" s="68"/>
      <c r="Q35" s="68"/>
      <c r="R35" s="68"/>
      <c r="S35" s="68"/>
      <c r="T35" s="68"/>
      <c r="U35" s="68"/>
      <c r="V35" s="68"/>
      <c r="W35" s="68"/>
      <c r="X35" s="68"/>
    </row>
    <row r="36" spans="1:24" x14ac:dyDescent="0.3">
      <c r="A36" s="65" t="s">
        <v>35</v>
      </c>
      <c r="B36" s="68"/>
      <c r="C36" s="68"/>
      <c r="D36" s="68"/>
      <c r="E36" s="68"/>
      <c r="F36" s="68"/>
      <c r="H36" s="68"/>
      <c r="I36" s="68"/>
      <c r="J36" s="68"/>
      <c r="K36" s="68"/>
      <c r="L36" s="68"/>
      <c r="N36" s="71"/>
      <c r="O36" s="68"/>
      <c r="P36" s="68"/>
      <c r="Q36" s="68"/>
      <c r="R36" s="68"/>
      <c r="S36" s="68"/>
      <c r="T36" s="68"/>
      <c r="U36" s="68"/>
      <c r="V36" s="68"/>
      <c r="W36" s="68"/>
      <c r="X36" s="68"/>
    </row>
    <row r="37" spans="1:24" x14ac:dyDescent="0.3">
      <c r="A37" s="65" t="s">
        <v>37</v>
      </c>
      <c r="B37" s="68"/>
      <c r="C37" s="68"/>
      <c r="D37" s="68"/>
      <c r="E37" s="68"/>
      <c r="F37" s="68"/>
      <c r="H37" s="68"/>
      <c r="I37" s="68"/>
      <c r="J37" s="68"/>
      <c r="K37" s="68"/>
      <c r="L37" s="68"/>
      <c r="N37" s="71"/>
      <c r="O37" s="68"/>
      <c r="P37" s="68"/>
      <c r="Q37" s="68"/>
      <c r="R37" s="68"/>
      <c r="S37" s="68"/>
      <c r="T37" s="68"/>
      <c r="U37" s="68"/>
      <c r="V37" s="68"/>
      <c r="W37" s="68"/>
      <c r="X37" s="68"/>
    </row>
    <row r="38" spans="1:24" x14ac:dyDescent="0.3">
      <c r="A38" s="65" t="s">
        <v>46</v>
      </c>
      <c r="B38" s="68"/>
      <c r="C38" s="68"/>
      <c r="D38" s="68"/>
      <c r="E38" s="68"/>
      <c r="F38" s="68"/>
      <c r="H38" s="68"/>
      <c r="I38" s="68"/>
      <c r="J38" s="68"/>
      <c r="K38" s="68"/>
      <c r="L38" s="68"/>
      <c r="N38" s="70"/>
      <c r="O38" s="68"/>
      <c r="P38" s="68"/>
      <c r="Q38" s="68"/>
      <c r="R38" s="68"/>
      <c r="S38" s="68"/>
      <c r="T38" s="68"/>
      <c r="U38" s="68"/>
      <c r="V38" s="68"/>
      <c r="W38" s="68"/>
      <c r="X38" s="68"/>
    </row>
    <row r="39" spans="1:24" x14ac:dyDescent="0.3">
      <c r="A39" s="65" t="s">
        <v>47</v>
      </c>
      <c r="B39" s="68"/>
      <c r="C39" s="68"/>
      <c r="D39" s="68"/>
      <c r="E39" s="68"/>
      <c r="F39" s="68"/>
      <c r="H39" s="68"/>
      <c r="I39" s="68"/>
      <c r="J39" s="68"/>
      <c r="K39" s="68"/>
      <c r="L39" s="68"/>
      <c r="N39" s="70"/>
      <c r="O39" s="68"/>
      <c r="P39" s="68"/>
      <c r="Q39" s="68"/>
      <c r="R39" s="68"/>
      <c r="S39" s="68"/>
      <c r="T39" s="68"/>
      <c r="U39" s="68"/>
      <c r="V39" s="68"/>
      <c r="W39" s="68"/>
      <c r="X39" s="68"/>
    </row>
    <row r="40" spans="1:24" x14ac:dyDescent="0.3">
      <c r="A40" s="65" t="s">
        <v>48</v>
      </c>
      <c r="B40" s="68"/>
      <c r="C40" s="68"/>
      <c r="D40" s="68"/>
      <c r="E40" s="68"/>
      <c r="F40" s="68"/>
      <c r="H40" s="68"/>
      <c r="I40" s="68"/>
      <c r="J40" s="68"/>
      <c r="K40" s="68"/>
      <c r="L40" s="68"/>
      <c r="N40" s="70"/>
      <c r="O40" s="68"/>
      <c r="P40" s="68"/>
      <c r="Q40" s="68"/>
      <c r="R40" s="68"/>
      <c r="S40" s="68"/>
      <c r="T40" s="68"/>
      <c r="U40" s="68"/>
      <c r="V40" s="68"/>
      <c r="W40" s="68"/>
      <c r="X40" s="68"/>
    </row>
    <row r="41" spans="1:24" x14ac:dyDescent="0.3">
      <c r="A41" s="65" t="s">
        <v>49</v>
      </c>
      <c r="B41" s="68"/>
      <c r="C41" s="68"/>
      <c r="D41" s="68"/>
      <c r="E41" s="68"/>
      <c r="F41" s="68"/>
      <c r="H41" s="68"/>
      <c r="I41" s="68"/>
      <c r="J41" s="68"/>
      <c r="K41" s="68"/>
      <c r="L41" s="68"/>
      <c r="N41" s="70"/>
      <c r="O41" s="68"/>
      <c r="P41" s="68"/>
      <c r="Q41" s="68"/>
      <c r="R41" s="68"/>
      <c r="S41" s="68"/>
      <c r="T41" s="68"/>
      <c r="U41" s="68"/>
      <c r="V41" s="68"/>
      <c r="W41" s="68"/>
      <c r="X41" s="68"/>
    </row>
    <row r="42" spans="1:24" x14ac:dyDescent="0.3">
      <c r="A42" s="65" t="s">
        <v>50</v>
      </c>
      <c r="B42" s="68"/>
      <c r="C42" s="68"/>
      <c r="D42" s="68"/>
      <c r="E42" s="68"/>
      <c r="F42" s="68"/>
      <c r="H42" s="68"/>
      <c r="I42" s="68"/>
      <c r="J42" s="68"/>
      <c r="K42" s="68"/>
      <c r="L42" s="68"/>
      <c r="N42" s="70"/>
      <c r="O42" s="68"/>
      <c r="P42" s="68"/>
      <c r="Q42" s="68"/>
      <c r="R42" s="68"/>
      <c r="S42" s="68"/>
      <c r="T42" s="68"/>
      <c r="U42" s="68"/>
      <c r="V42" s="68"/>
      <c r="W42" s="68"/>
      <c r="X42" s="68"/>
    </row>
    <row r="43" spans="1:24" x14ac:dyDescent="0.3">
      <c r="A43" s="65" t="s">
        <v>51</v>
      </c>
      <c r="B43" s="68"/>
      <c r="C43" s="68"/>
      <c r="D43" s="68"/>
      <c r="E43" s="68"/>
      <c r="F43" s="68"/>
      <c r="H43" s="68"/>
      <c r="I43" s="68"/>
      <c r="J43" s="68"/>
      <c r="K43" s="68"/>
      <c r="L43" s="68"/>
      <c r="N43" s="70"/>
      <c r="O43" s="68"/>
      <c r="P43" s="68"/>
      <c r="Q43" s="68"/>
      <c r="R43" s="68"/>
      <c r="S43" s="68"/>
      <c r="T43" s="68"/>
      <c r="U43" s="68"/>
      <c r="V43" s="68"/>
      <c r="W43" s="68"/>
      <c r="X43" s="68"/>
    </row>
    <row r="44" spans="1:24" x14ac:dyDescent="0.3">
      <c r="A44" s="65" t="s">
        <v>52</v>
      </c>
      <c r="B44" s="68"/>
      <c r="C44" s="68"/>
      <c r="D44" s="68"/>
      <c r="E44" s="68"/>
      <c r="F44" s="68"/>
      <c r="H44" s="68"/>
      <c r="I44" s="68"/>
      <c r="J44" s="68"/>
      <c r="K44" s="68"/>
      <c r="L44" s="68"/>
      <c r="N44" s="70"/>
      <c r="O44" s="68"/>
      <c r="P44" s="68"/>
      <c r="Q44" s="68"/>
      <c r="R44" s="68"/>
      <c r="S44" s="68"/>
      <c r="T44" s="68"/>
      <c r="U44" s="68"/>
      <c r="V44" s="68"/>
      <c r="W44" s="68"/>
      <c r="X44" s="68"/>
    </row>
    <row r="45" spans="1:24" x14ac:dyDescent="0.3">
      <c r="A45" s="65"/>
    </row>
    <row r="46" spans="1:24" x14ac:dyDescent="0.3">
      <c r="A46" s="65"/>
    </row>
    <row r="47" spans="1:24" x14ac:dyDescent="0.3">
      <c r="A47" s="65"/>
    </row>
    <row r="48" spans="1:24" x14ac:dyDescent="0.3">
      <c r="A48" s="65"/>
    </row>
    <row r="49" spans="1:1" x14ac:dyDescent="0.3">
      <c r="A49" s="65"/>
    </row>
    <row r="50" spans="1:1" x14ac:dyDescent="0.3">
      <c r="A50" s="65"/>
    </row>
    <row r="51" spans="1:1" x14ac:dyDescent="0.3">
      <c r="A51" s="65"/>
    </row>
    <row r="52" spans="1:1" x14ac:dyDescent="0.3">
      <c r="A52" s="65"/>
    </row>
    <row r="53" spans="1:1" x14ac:dyDescent="0.3">
      <c r="A53" s="65"/>
    </row>
    <row r="54" spans="1:1" x14ac:dyDescent="0.3">
      <c r="A54" s="65"/>
    </row>
    <row r="55" spans="1:1" x14ac:dyDescent="0.3">
      <c r="A55" s="65"/>
    </row>
    <row r="56" spans="1:1" x14ac:dyDescent="0.3">
      <c r="A56" s="65"/>
    </row>
    <row r="57" spans="1:1" x14ac:dyDescent="0.3">
      <c r="A57" s="65"/>
    </row>
    <row r="58" spans="1:1" x14ac:dyDescent="0.3">
      <c r="A58" s="65"/>
    </row>
    <row r="59" spans="1:1" x14ac:dyDescent="0.3">
      <c r="A59" s="65"/>
    </row>
    <row r="60" spans="1:1" x14ac:dyDescent="0.3">
      <c r="A60" s="65"/>
    </row>
    <row r="61" spans="1:1" x14ac:dyDescent="0.3">
      <c r="A61" s="65"/>
    </row>
    <row r="62" spans="1:1" x14ac:dyDescent="0.3">
      <c r="A62" s="65"/>
    </row>
    <row r="63" spans="1:1" x14ac:dyDescent="0.3">
      <c r="A63" s="65"/>
    </row>
    <row r="64" spans="1:1" x14ac:dyDescent="0.3">
      <c r="A64" s="65"/>
    </row>
    <row r="65" spans="1:1" x14ac:dyDescent="0.3">
      <c r="A65" s="65"/>
    </row>
    <row r="66" spans="1:1" x14ac:dyDescent="0.3">
      <c r="A66" s="65"/>
    </row>
    <row r="67" spans="1:1" x14ac:dyDescent="0.3">
      <c r="A67" s="65"/>
    </row>
    <row r="68" spans="1:1" x14ac:dyDescent="0.3">
      <c r="A68" s="65"/>
    </row>
    <row r="69" spans="1:1" x14ac:dyDescent="0.3">
      <c r="A69" s="65"/>
    </row>
    <row r="70" spans="1:1" x14ac:dyDescent="0.3">
      <c r="A70" s="65"/>
    </row>
    <row r="71" spans="1:1" x14ac:dyDescent="0.3">
      <c r="A71" s="65"/>
    </row>
    <row r="72" spans="1:1" x14ac:dyDescent="0.3">
      <c r="A72" s="65"/>
    </row>
    <row r="73" spans="1:1" x14ac:dyDescent="0.3">
      <c r="A73" s="65"/>
    </row>
    <row r="74" spans="1:1" x14ac:dyDescent="0.3">
      <c r="A74" s="65"/>
    </row>
    <row r="75" spans="1:1" x14ac:dyDescent="0.3">
      <c r="A75" s="65"/>
    </row>
    <row r="76" spans="1:1" x14ac:dyDescent="0.3">
      <c r="A76" s="65"/>
    </row>
    <row r="77" spans="1:1" x14ac:dyDescent="0.3">
      <c r="A77" s="65"/>
    </row>
    <row r="78" spans="1:1" x14ac:dyDescent="0.3">
      <c r="A78" s="65"/>
    </row>
    <row r="79" spans="1:1" x14ac:dyDescent="0.3">
      <c r="A79" s="65"/>
    </row>
    <row r="80" spans="1:1" x14ac:dyDescent="0.3">
      <c r="A80" s="65"/>
    </row>
    <row r="81" spans="1:1" x14ac:dyDescent="0.3">
      <c r="A81" s="65"/>
    </row>
    <row r="82" spans="1:1" x14ac:dyDescent="0.3">
      <c r="A82" s="65"/>
    </row>
    <row r="83" spans="1:1" x14ac:dyDescent="0.3">
      <c r="A83" s="65"/>
    </row>
    <row r="84" spans="1:1" x14ac:dyDescent="0.3">
      <c r="A84" s="65"/>
    </row>
    <row r="85" spans="1:1" x14ac:dyDescent="0.3">
      <c r="A85" s="65"/>
    </row>
    <row r="86" spans="1:1" x14ac:dyDescent="0.3">
      <c r="A86" s="65"/>
    </row>
    <row r="87" spans="1:1" x14ac:dyDescent="0.3">
      <c r="A87" s="65"/>
    </row>
    <row r="88" spans="1:1" x14ac:dyDescent="0.3">
      <c r="A88" s="65"/>
    </row>
    <row r="89" spans="1:1" x14ac:dyDescent="0.3">
      <c r="A89" s="65"/>
    </row>
    <row r="90" spans="1:1" x14ac:dyDescent="0.3">
      <c r="A90" s="65"/>
    </row>
    <row r="91" spans="1:1" x14ac:dyDescent="0.3">
      <c r="A91" s="65"/>
    </row>
    <row r="92" spans="1:1" x14ac:dyDescent="0.3">
      <c r="A92" s="65"/>
    </row>
    <row r="93" spans="1:1" x14ac:dyDescent="0.3">
      <c r="A93" s="65"/>
    </row>
    <row r="94" spans="1:1" x14ac:dyDescent="0.3">
      <c r="A94" s="65"/>
    </row>
    <row r="95" spans="1:1" x14ac:dyDescent="0.3">
      <c r="A95" s="65"/>
    </row>
    <row r="96" spans="1:1" x14ac:dyDescent="0.3">
      <c r="A96" s="65"/>
    </row>
    <row r="97" spans="1:1" x14ac:dyDescent="0.3">
      <c r="A97" s="65"/>
    </row>
    <row r="98" spans="1:1" x14ac:dyDescent="0.3">
      <c r="A98" s="65"/>
    </row>
    <row r="99" spans="1:1" x14ac:dyDescent="0.3">
      <c r="A99" s="65"/>
    </row>
    <row r="100" spans="1:1" x14ac:dyDescent="0.3">
      <c r="A100" s="65"/>
    </row>
    <row r="101" spans="1:1" x14ac:dyDescent="0.3">
      <c r="A101" s="65"/>
    </row>
    <row r="102" spans="1:1" x14ac:dyDescent="0.3">
      <c r="A102" s="65"/>
    </row>
    <row r="103" spans="1:1" x14ac:dyDescent="0.3">
      <c r="A103" s="65"/>
    </row>
    <row r="104" spans="1:1" x14ac:dyDescent="0.3">
      <c r="A104" s="65"/>
    </row>
    <row r="105" spans="1:1" x14ac:dyDescent="0.3">
      <c r="A105" s="65"/>
    </row>
    <row r="106" spans="1:1" x14ac:dyDescent="0.3">
      <c r="A106" s="65"/>
    </row>
    <row r="107" spans="1:1" x14ac:dyDescent="0.3">
      <c r="A107" s="65"/>
    </row>
    <row r="108" spans="1:1" x14ac:dyDescent="0.3">
      <c r="A108" s="65"/>
    </row>
    <row r="109" spans="1:1" x14ac:dyDescent="0.3">
      <c r="A109" s="65"/>
    </row>
    <row r="110" spans="1:1" x14ac:dyDescent="0.3">
      <c r="A110" s="65"/>
    </row>
    <row r="111" spans="1:1" x14ac:dyDescent="0.3">
      <c r="A111" s="65"/>
    </row>
    <row r="112" spans="1:1" x14ac:dyDescent="0.3">
      <c r="A112" s="65"/>
    </row>
    <row r="113" spans="1:1" x14ac:dyDescent="0.3">
      <c r="A113" s="65"/>
    </row>
    <row r="114" spans="1:1" x14ac:dyDescent="0.3">
      <c r="A114" s="65"/>
    </row>
    <row r="115" spans="1:1" x14ac:dyDescent="0.3">
      <c r="A115" s="65"/>
    </row>
    <row r="116" spans="1:1" x14ac:dyDescent="0.3">
      <c r="A116" s="65"/>
    </row>
    <row r="117" spans="1:1" x14ac:dyDescent="0.3">
      <c r="A117" s="65"/>
    </row>
    <row r="118" spans="1:1" x14ac:dyDescent="0.3">
      <c r="A118" s="65"/>
    </row>
    <row r="119" spans="1:1" x14ac:dyDescent="0.3">
      <c r="A119" s="65"/>
    </row>
    <row r="120" spans="1:1" x14ac:dyDescent="0.3">
      <c r="A120" s="65"/>
    </row>
    <row r="121" spans="1:1" x14ac:dyDescent="0.3">
      <c r="A121" s="65"/>
    </row>
    <row r="122" spans="1:1" x14ac:dyDescent="0.3">
      <c r="A122" s="65"/>
    </row>
    <row r="123" spans="1:1" x14ac:dyDescent="0.3">
      <c r="A123" s="65"/>
    </row>
    <row r="124" spans="1:1" x14ac:dyDescent="0.3">
      <c r="A124" s="65"/>
    </row>
    <row r="125" spans="1:1" x14ac:dyDescent="0.3">
      <c r="A125" s="65"/>
    </row>
    <row r="126" spans="1:1" x14ac:dyDescent="0.3">
      <c r="A126" s="65"/>
    </row>
    <row r="127" spans="1:1" x14ac:dyDescent="0.3">
      <c r="A127" s="65"/>
    </row>
  </sheetData>
  <pageMargins left="0.25" right="0.25"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92B62-4737-4AF5-AB78-ACD525E8E598}">
  <sheetPr codeName="Foglio6"/>
  <dimension ref="A1:K58"/>
  <sheetViews>
    <sheetView workbookViewId="0">
      <selection activeCell="C55" sqref="C55"/>
    </sheetView>
  </sheetViews>
  <sheetFormatPr defaultRowHeight="14.4" x14ac:dyDescent="0.3"/>
  <cols>
    <col min="1" max="7" width="8.88671875" style="1"/>
    <col min="8" max="8" width="16.88671875" style="1" customWidth="1"/>
    <col min="9" max="9" width="8.88671875" style="8"/>
    <col min="10" max="16384" width="8.88671875" style="1"/>
  </cols>
  <sheetData>
    <row r="1" spans="1:11" x14ac:dyDescent="0.3">
      <c r="A1" s="1" t="s">
        <v>195</v>
      </c>
      <c r="H1" s="1" t="s">
        <v>196</v>
      </c>
      <c r="I1" s="8" t="s">
        <v>214</v>
      </c>
    </row>
    <row r="2" spans="1:11" x14ac:dyDescent="0.3">
      <c r="A2" s="1" t="s">
        <v>164</v>
      </c>
      <c r="H2" s="1" t="s">
        <v>197</v>
      </c>
      <c r="I2" s="8">
        <v>-2</v>
      </c>
    </row>
    <row r="3" spans="1:11" x14ac:dyDescent="0.3">
      <c r="H3" s="1" t="s">
        <v>198</v>
      </c>
      <c r="I3" s="8">
        <v>-4</v>
      </c>
    </row>
    <row r="4" spans="1:11" x14ac:dyDescent="0.3">
      <c r="A4" s="1" t="s">
        <v>165</v>
      </c>
      <c r="H4" s="1" t="s">
        <v>199</v>
      </c>
      <c r="I4" s="8">
        <v>-6</v>
      </c>
    </row>
    <row r="5" spans="1:11" x14ac:dyDescent="0.3">
      <c r="A5" s="1" t="s">
        <v>166</v>
      </c>
    </row>
    <row r="6" spans="1:11" x14ac:dyDescent="0.3">
      <c r="A6" s="1" t="s">
        <v>167</v>
      </c>
    </row>
    <row r="7" spans="1:11" x14ac:dyDescent="0.3">
      <c r="A7" s="1" t="s">
        <v>168</v>
      </c>
      <c r="H7" s="1" t="s">
        <v>187</v>
      </c>
    </row>
    <row r="8" spans="1:11" x14ac:dyDescent="0.3">
      <c r="H8" s="1" t="s">
        <v>188</v>
      </c>
      <c r="I8" s="8">
        <v>0</v>
      </c>
      <c r="K8" s="8"/>
    </row>
    <row r="9" spans="1:11" x14ac:dyDescent="0.3">
      <c r="A9" s="1" t="s">
        <v>169</v>
      </c>
      <c r="H9" s="1" t="s">
        <v>189</v>
      </c>
      <c r="I9" s="8">
        <v>-1</v>
      </c>
      <c r="K9" s="8"/>
    </row>
    <row r="10" spans="1:11" x14ac:dyDescent="0.3">
      <c r="A10" s="1" t="s">
        <v>170</v>
      </c>
      <c r="H10" s="1" t="s">
        <v>190</v>
      </c>
      <c r="I10" s="8">
        <v>-1</v>
      </c>
      <c r="K10" s="8"/>
    </row>
    <row r="11" spans="1:11" x14ac:dyDescent="0.3">
      <c r="H11" s="1" t="s">
        <v>191</v>
      </c>
      <c r="I11" s="8">
        <v>-2</v>
      </c>
      <c r="K11" s="8"/>
    </row>
    <row r="12" spans="1:11" x14ac:dyDescent="0.3">
      <c r="H12" s="1" t="s">
        <v>192</v>
      </c>
      <c r="I12" s="8">
        <v>-2</v>
      </c>
      <c r="K12" s="8"/>
    </row>
    <row r="13" spans="1:11" x14ac:dyDescent="0.3">
      <c r="A13" s="9" t="s">
        <v>203</v>
      </c>
      <c r="B13" s="9"/>
      <c r="C13" s="9"/>
      <c r="D13" s="9"/>
      <c r="F13" s="9"/>
      <c r="H13" s="1" t="s">
        <v>193</v>
      </c>
      <c r="I13" s="8">
        <v>-5</v>
      </c>
      <c r="K13" s="8"/>
    </row>
    <row r="14" spans="1:11" x14ac:dyDescent="0.3">
      <c r="A14" s="1" t="s">
        <v>171</v>
      </c>
      <c r="H14" s="1" t="s">
        <v>194</v>
      </c>
      <c r="K14" s="8"/>
    </row>
    <row r="15" spans="1:11" x14ac:dyDescent="0.3">
      <c r="A15" s="1" t="s">
        <v>172</v>
      </c>
    </row>
    <row r="16" spans="1:11" x14ac:dyDescent="0.3">
      <c r="A16" s="1" t="s">
        <v>204</v>
      </c>
      <c r="B16" s="8"/>
    </row>
    <row r="17" spans="1:9" x14ac:dyDescent="0.3">
      <c r="H17" s="1" t="s">
        <v>207</v>
      </c>
    </row>
    <row r="18" spans="1:9" x14ac:dyDescent="0.3">
      <c r="A18" s="1" t="s">
        <v>173</v>
      </c>
      <c r="H18" s="1" t="s">
        <v>215</v>
      </c>
      <c r="I18" s="8" t="s">
        <v>216</v>
      </c>
    </row>
    <row r="19" spans="1:9" x14ac:dyDescent="0.3">
      <c r="C19" s="1" t="s">
        <v>177</v>
      </c>
      <c r="D19" s="1" t="s">
        <v>181</v>
      </c>
      <c r="H19" s="1" t="s">
        <v>208</v>
      </c>
      <c r="I19" s="8">
        <v>0</v>
      </c>
    </row>
    <row r="20" spans="1:9" x14ac:dyDescent="0.3">
      <c r="A20" s="1" t="s">
        <v>174</v>
      </c>
      <c r="C20" s="1" t="s">
        <v>178</v>
      </c>
      <c r="D20" s="1" t="s">
        <v>179</v>
      </c>
      <c r="H20" s="1" t="s">
        <v>209</v>
      </c>
      <c r="I20" s="8">
        <v>1</v>
      </c>
    </row>
    <row r="21" spans="1:9" x14ac:dyDescent="0.3">
      <c r="A21" s="1" t="s">
        <v>175</v>
      </c>
      <c r="B21" s="9"/>
      <c r="C21" s="1" t="s">
        <v>178</v>
      </c>
      <c r="D21" s="9" t="s">
        <v>149</v>
      </c>
      <c r="E21" s="9"/>
      <c r="F21" s="9"/>
      <c r="H21" s="1" t="s">
        <v>210</v>
      </c>
      <c r="I21" s="8">
        <v>2</v>
      </c>
    </row>
    <row r="22" spans="1:9" x14ac:dyDescent="0.3">
      <c r="A22" s="9" t="s">
        <v>176</v>
      </c>
      <c r="C22" s="1" t="s">
        <v>180</v>
      </c>
      <c r="D22" s="1" t="s">
        <v>149</v>
      </c>
      <c r="H22" s="1" t="s">
        <v>211</v>
      </c>
      <c r="I22" s="8">
        <v>3</v>
      </c>
    </row>
    <row r="23" spans="1:9" x14ac:dyDescent="0.3">
      <c r="H23" s="1" t="s">
        <v>212</v>
      </c>
      <c r="I23" s="8">
        <v>4</v>
      </c>
    </row>
    <row r="24" spans="1:9" x14ac:dyDescent="0.3">
      <c r="A24" s="1" t="s">
        <v>202</v>
      </c>
      <c r="H24" s="1" t="s">
        <v>213</v>
      </c>
      <c r="I24" s="8">
        <v>5</v>
      </c>
    </row>
    <row r="26" spans="1:9" x14ac:dyDescent="0.3">
      <c r="A26" s="1" t="s">
        <v>182</v>
      </c>
    </row>
    <row r="27" spans="1:9" x14ac:dyDescent="0.3">
      <c r="C27" s="1" t="s">
        <v>177</v>
      </c>
    </row>
    <row r="28" spans="1:9" x14ac:dyDescent="0.3">
      <c r="A28" s="1" t="s">
        <v>174</v>
      </c>
      <c r="C28" s="1" t="s">
        <v>183</v>
      </c>
    </row>
    <row r="29" spans="1:9" x14ac:dyDescent="0.3">
      <c r="A29" s="1" t="s">
        <v>175</v>
      </c>
      <c r="C29" s="1" t="s">
        <v>184</v>
      </c>
    </row>
    <row r="30" spans="1:9" x14ac:dyDescent="0.3">
      <c r="A30" s="9" t="s">
        <v>176</v>
      </c>
      <c r="C30" s="1" t="s">
        <v>185</v>
      </c>
    </row>
    <row r="32" spans="1:9" x14ac:dyDescent="0.3">
      <c r="A32" s="1" t="s">
        <v>186</v>
      </c>
    </row>
    <row r="33" spans="1:1" x14ac:dyDescent="0.3">
      <c r="A33" s="1" t="s">
        <v>200</v>
      </c>
    </row>
    <row r="34" spans="1:1" x14ac:dyDescent="0.3">
      <c r="A34" s="1" t="s">
        <v>201</v>
      </c>
    </row>
    <row r="36" spans="1:1" x14ac:dyDescent="0.3">
      <c r="A36" s="1" t="s">
        <v>206</v>
      </c>
    </row>
    <row r="37" spans="1:1" x14ac:dyDescent="0.3">
      <c r="A37" s="1" t="s">
        <v>217</v>
      </c>
    </row>
    <row r="39" spans="1:1" x14ac:dyDescent="0.3">
      <c r="A39" s="1" t="s">
        <v>219</v>
      </c>
    </row>
    <row r="40" spans="1:1" x14ac:dyDescent="0.3">
      <c r="A40" s="1" t="s">
        <v>218</v>
      </c>
    </row>
    <row r="41" spans="1:1" x14ac:dyDescent="0.3">
      <c r="A41" s="1" t="s">
        <v>220</v>
      </c>
    </row>
    <row r="43" spans="1:1" x14ac:dyDescent="0.3">
      <c r="A43" s="1" t="s">
        <v>221</v>
      </c>
    </row>
    <row r="44" spans="1:1" x14ac:dyDescent="0.3">
      <c r="A44" s="1" t="s">
        <v>222</v>
      </c>
    </row>
    <row r="46" spans="1:1" x14ac:dyDescent="0.3">
      <c r="A46" s="1" t="s">
        <v>223</v>
      </c>
    </row>
    <row r="47" spans="1:1" x14ac:dyDescent="0.3">
      <c r="A47" s="1" t="s">
        <v>224</v>
      </c>
    </row>
    <row r="49" spans="1:1" x14ac:dyDescent="0.3">
      <c r="A49" s="1" t="s">
        <v>225</v>
      </c>
    </row>
    <row r="50" spans="1:1" x14ac:dyDescent="0.3">
      <c r="A50" s="1" t="s">
        <v>226</v>
      </c>
    </row>
    <row r="51" spans="1:1" x14ac:dyDescent="0.3">
      <c r="A51" s="1" t="s">
        <v>227</v>
      </c>
    </row>
    <row r="53" spans="1:1" x14ac:dyDescent="0.3">
      <c r="A53" s="1" t="s">
        <v>228</v>
      </c>
    </row>
    <row r="54" spans="1:1" x14ac:dyDescent="0.3">
      <c r="A54" s="1" t="s">
        <v>229</v>
      </c>
    </row>
    <row r="56" spans="1:1" x14ac:dyDescent="0.3">
      <c r="A56" s="1" t="s">
        <v>230</v>
      </c>
    </row>
    <row r="57" spans="1:1" x14ac:dyDescent="0.3">
      <c r="A57" s="1" t="s">
        <v>231</v>
      </c>
    </row>
    <row r="58" spans="1:1" x14ac:dyDescent="0.3">
      <c r="A58" s="1" t="s">
        <v>232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009AB-B27C-4CA0-B2E4-90AA5876E3A8}">
  <sheetPr codeName="Foglio7"/>
  <dimension ref="A2:B5"/>
  <sheetViews>
    <sheetView workbookViewId="0">
      <selection activeCell="G9" sqref="G9"/>
    </sheetView>
  </sheetViews>
  <sheetFormatPr defaultRowHeight="14.4" x14ac:dyDescent="0.3"/>
  <sheetData>
    <row r="2" spans="1:2" x14ac:dyDescent="0.3">
      <c r="A2" t="s">
        <v>370</v>
      </c>
    </row>
    <row r="3" spans="1:2" x14ac:dyDescent="0.3">
      <c r="B3" t="s">
        <v>369</v>
      </c>
    </row>
    <row r="4" spans="1:2" x14ac:dyDescent="0.3">
      <c r="B4" t="s">
        <v>371</v>
      </c>
    </row>
    <row r="5" spans="1:2" x14ac:dyDescent="0.3">
      <c r="B5" t="s">
        <v>372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B1265-A304-4A70-84A2-1BEE78880113}">
  <sheetPr codeName="Foglio4"/>
  <dimension ref="A1:U31"/>
  <sheetViews>
    <sheetView zoomScale="90" zoomScaleNormal="90" workbookViewId="0">
      <selection activeCell="M23" sqref="M23"/>
    </sheetView>
  </sheetViews>
  <sheetFormatPr defaultRowHeight="14.4" x14ac:dyDescent="0.3"/>
  <cols>
    <col min="1" max="1" width="22.5546875" customWidth="1"/>
    <col min="2" max="2" width="4.88671875" style="34" customWidth="1"/>
  </cols>
  <sheetData>
    <row r="1" spans="1:21" ht="21" customHeight="1" x14ac:dyDescent="0.3">
      <c r="A1" s="85" t="s">
        <v>241</v>
      </c>
      <c r="B1" s="85"/>
      <c r="C1" s="85"/>
      <c r="D1" s="85"/>
      <c r="E1" s="85"/>
      <c r="F1" s="85"/>
      <c r="G1" s="85"/>
      <c r="H1" s="85"/>
      <c r="I1" s="85"/>
      <c r="J1" s="85"/>
      <c r="K1" s="63"/>
      <c r="L1" s="63"/>
      <c r="M1" s="63"/>
      <c r="N1" s="63"/>
      <c r="O1" s="63"/>
      <c r="P1" s="63"/>
      <c r="Q1" s="63"/>
      <c r="R1" s="63"/>
      <c r="S1" s="63"/>
      <c r="T1" s="63"/>
      <c r="U1" s="58"/>
    </row>
    <row r="2" spans="1:21" ht="4.2" customHeight="1" x14ac:dyDescent="0.35">
      <c r="A2" s="59"/>
      <c r="B2" s="60"/>
      <c r="C2" s="61"/>
      <c r="D2" s="61"/>
      <c r="E2" s="61"/>
      <c r="F2" s="61"/>
      <c r="G2" s="61"/>
      <c r="H2" s="61"/>
      <c r="I2" s="61"/>
      <c r="J2" s="61"/>
      <c r="K2" s="62"/>
      <c r="L2" s="62"/>
      <c r="M2" s="62"/>
      <c r="N2" s="62"/>
      <c r="O2" s="62"/>
      <c r="P2" s="62"/>
      <c r="Q2" s="62"/>
      <c r="R2" s="62"/>
      <c r="S2" s="62"/>
      <c r="T2" s="62"/>
      <c r="U2" s="62"/>
    </row>
    <row r="3" spans="1:21" ht="21" customHeight="1" x14ac:dyDescent="0.3">
      <c r="A3" s="36"/>
      <c r="B3" s="35"/>
      <c r="D3" s="56"/>
      <c r="E3" s="57" t="s">
        <v>254</v>
      </c>
      <c r="F3" s="56"/>
      <c r="G3" s="56"/>
      <c r="H3" s="56"/>
    </row>
    <row r="4" spans="1:21" x14ac:dyDescent="0.3">
      <c r="A4" s="36"/>
      <c r="B4" s="35"/>
      <c r="C4" s="41" t="s">
        <v>245</v>
      </c>
      <c r="D4" s="41" t="s">
        <v>246</v>
      </c>
      <c r="E4" s="41" t="s">
        <v>247</v>
      </c>
      <c r="F4" s="41" t="s">
        <v>248</v>
      </c>
      <c r="G4" s="41" t="s">
        <v>249</v>
      </c>
      <c r="H4" s="41" t="s">
        <v>250</v>
      </c>
      <c r="I4" s="41" t="s">
        <v>343</v>
      </c>
      <c r="J4" s="41" t="s">
        <v>343</v>
      </c>
    </row>
    <row r="5" spans="1:21" ht="17.399999999999999" x14ac:dyDescent="0.3">
      <c r="A5" s="39" t="s">
        <v>263</v>
      </c>
      <c r="B5" s="48" t="s">
        <v>260</v>
      </c>
      <c r="C5" s="38" t="s">
        <v>267</v>
      </c>
      <c r="D5" s="38" t="s">
        <v>267</v>
      </c>
      <c r="E5" s="38" t="s">
        <v>267</v>
      </c>
      <c r="F5" s="38" t="s">
        <v>267</v>
      </c>
      <c r="G5" s="38" t="s">
        <v>267</v>
      </c>
      <c r="H5" s="38" t="s">
        <v>267</v>
      </c>
      <c r="I5" s="38" t="s">
        <v>267</v>
      </c>
      <c r="J5" s="38" t="s">
        <v>267</v>
      </c>
    </row>
    <row r="6" spans="1:21" ht="5.4" customHeight="1" x14ac:dyDescent="0.3">
      <c r="A6" s="36"/>
      <c r="B6" s="35"/>
      <c r="C6" s="36"/>
      <c r="D6" s="36"/>
      <c r="E6" s="36"/>
      <c r="F6" s="36"/>
      <c r="G6" s="36"/>
      <c r="H6" s="36"/>
    </row>
    <row r="7" spans="1:21" ht="17.399999999999999" customHeight="1" x14ac:dyDescent="0.3">
      <c r="A7" s="44" t="s">
        <v>261</v>
      </c>
      <c r="B7" s="50">
        <v>3</v>
      </c>
      <c r="C7" s="49" t="b">
        <v>0</v>
      </c>
      <c r="D7" s="49" t="b">
        <v>0</v>
      </c>
      <c r="E7" s="49" t="b">
        <v>0</v>
      </c>
      <c r="F7" s="49" t="b">
        <v>0</v>
      </c>
      <c r="G7" s="49" t="b">
        <v>0</v>
      </c>
      <c r="H7" s="49" t="b">
        <v>0</v>
      </c>
      <c r="I7" s="49" t="b">
        <v>0</v>
      </c>
      <c r="J7" s="49" t="b">
        <v>0</v>
      </c>
    </row>
    <row r="8" spans="1:21" s="37" customFormat="1" ht="18" customHeight="1" x14ac:dyDescent="0.3">
      <c r="A8" s="45" t="s">
        <v>242</v>
      </c>
      <c r="B8" s="50">
        <v>2</v>
      </c>
      <c r="C8" s="49" t="b">
        <v>0</v>
      </c>
      <c r="D8" s="49" t="b">
        <v>0</v>
      </c>
      <c r="E8" s="49" t="b">
        <v>0</v>
      </c>
      <c r="F8" s="49" t="b">
        <v>0</v>
      </c>
      <c r="G8" s="49" t="b">
        <v>0</v>
      </c>
      <c r="H8" s="49" t="b">
        <v>0</v>
      </c>
      <c r="I8" s="49" t="b">
        <v>0</v>
      </c>
      <c r="J8" s="49" t="b">
        <v>0</v>
      </c>
    </row>
    <row r="9" spans="1:21" s="37" customFormat="1" ht="18" customHeight="1" x14ac:dyDescent="0.3">
      <c r="A9" s="45" t="s">
        <v>243</v>
      </c>
      <c r="B9" s="50">
        <v>3</v>
      </c>
      <c r="C9" s="49" t="b">
        <v>0</v>
      </c>
      <c r="D9" s="49" t="b">
        <v>0</v>
      </c>
      <c r="E9" s="49" t="b">
        <v>0</v>
      </c>
      <c r="F9" s="49" t="b">
        <v>0</v>
      </c>
      <c r="G9" s="49" t="b">
        <v>0</v>
      </c>
      <c r="H9" s="49" t="b">
        <v>0</v>
      </c>
      <c r="I9" s="49" t="b">
        <v>0</v>
      </c>
      <c r="J9" s="49" t="b">
        <v>0</v>
      </c>
    </row>
    <row r="10" spans="1:21" s="37" customFormat="1" ht="18" customHeight="1" x14ac:dyDescent="0.3">
      <c r="A10" s="45" t="s">
        <v>244</v>
      </c>
      <c r="B10" s="50">
        <v>2</v>
      </c>
      <c r="C10" s="49" t="b">
        <v>0</v>
      </c>
      <c r="D10" s="49" t="b">
        <v>0</v>
      </c>
      <c r="E10" s="49" t="b">
        <v>0</v>
      </c>
      <c r="F10" s="49" t="b">
        <v>0</v>
      </c>
      <c r="G10" s="49" t="b">
        <v>0</v>
      </c>
      <c r="H10" s="49" t="b">
        <v>0</v>
      </c>
      <c r="I10" s="49" t="b">
        <v>0</v>
      </c>
      <c r="J10" s="49" t="b">
        <v>0</v>
      </c>
    </row>
    <row r="11" spans="1:21" s="37" customFormat="1" ht="7.2" customHeight="1" x14ac:dyDescent="0.3">
      <c r="A11" s="40"/>
      <c r="B11" s="50"/>
      <c r="C11" s="35"/>
      <c r="D11" s="35"/>
      <c r="E11" s="35"/>
      <c r="F11" s="35"/>
      <c r="G11" s="35"/>
      <c r="H11" s="35"/>
      <c r="I11" s="35"/>
      <c r="J11" s="35"/>
    </row>
    <row r="12" spans="1:21" s="37" customFormat="1" ht="18" customHeight="1" x14ac:dyDescent="0.3">
      <c r="A12" s="46" t="s">
        <v>251</v>
      </c>
      <c r="B12" s="50">
        <v>3</v>
      </c>
      <c r="C12" s="49" t="b">
        <v>0</v>
      </c>
      <c r="D12" s="49" t="b">
        <v>0</v>
      </c>
      <c r="E12" s="49" t="b">
        <v>0</v>
      </c>
      <c r="F12" s="49" t="b">
        <v>0</v>
      </c>
      <c r="G12" s="49" t="b">
        <v>0</v>
      </c>
      <c r="H12" s="49" t="b">
        <v>0</v>
      </c>
      <c r="I12" s="49" t="b">
        <v>0</v>
      </c>
      <c r="J12" s="49" t="b">
        <v>0</v>
      </c>
    </row>
    <row r="13" spans="1:21" s="37" customFormat="1" ht="18" customHeight="1" x14ac:dyDescent="0.3">
      <c r="A13" s="46" t="s">
        <v>252</v>
      </c>
      <c r="B13" s="50">
        <v>1</v>
      </c>
      <c r="C13" s="49" t="b">
        <v>0</v>
      </c>
      <c r="D13" s="49" t="b">
        <v>0</v>
      </c>
      <c r="E13" s="49" t="b">
        <v>0</v>
      </c>
      <c r="F13" s="49" t="b">
        <v>0</v>
      </c>
      <c r="G13" s="49" t="b">
        <v>0</v>
      </c>
      <c r="H13" s="49" t="b">
        <v>0</v>
      </c>
      <c r="I13" s="49" t="b">
        <v>0</v>
      </c>
      <c r="J13" s="49" t="b">
        <v>0</v>
      </c>
    </row>
    <row r="14" spans="1:21" s="37" customFormat="1" ht="18" customHeight="1" x14ac:dyDescent="0.3">
      <c r="A14" s="46" t="s">
        <v>253</v>
      </c>
      <c r="B14" s="50">
        <v>3</v>
      </c>
      <c r="C14" s="49" t="b">
        <v>0</v>
      </c>
      <c r="D14" s="49" t="b">
        <v>0</v>
      </c>
      <c r="E14" s="49" t="b">
        <v>0</v>
      </c>
      <c r="F14" s="49" t="b">
        <v>0</v>
      </c>
      <c r="G14" s="49" t="b">
        <v>0</v>
      </c>
      <c r="H14" s="49" t="b">
        <v>0</v>
      </c>
      <c r="I14" s="49" t="b">
        <v>0</v>
      </c>
      <c r="J14" s="49" t="b">
        <v>0</v>
      </c>
    </row>
    <row r="15" spans="1:21" s="37" customFormat="1" ht="7.2" customHeight="1" x14ac:dyDescent="0.3">
      <c r="A15" s="40"/>
      <c r="B15" s="50"/>
      <c r="C15" s="35"/>
      <c r="D15" s="35"/>
      <c r="E15" s="35"/>
      <c r="F15" s="35"/>
      <c r="G15" s="35"/>
      <c r="H15" s="35"/>
      <c r="I15" s="35"/>
      <c r="J15" s="35"/>
    </row>
    <row r="16" spans="1:21" s="37" customFormat="1" ht="18" customHeight="1" x14ac:dyDescent="0.3">
      <c r="A16" s="47" t="s">
        <v>264</v>
      </c>
      <c r="B16" s="50">
        <v>1</v>
      </c>
      <c r="C16" s="49" t="b">
        <v>0</v>
      </c>
      <c r="D16" s="49" t="b">
        <v>0</v>
      </c>
      <c r="E16" s="49" t="b">
        <v>0</v>
      </c>
      <c r="F16" s="49" t="b">
        <v>0</v>
      </c>
      <c r="G16" s="49" t="b">
        <v>0</v>
      </c>
      <c r="H16" s="49" t="b">
        <v>0</v>
      </c>
      <c r="I16" s="49" t="b">
        <v>0</v>
      </c>
      <c r="J16" s="49" t="b">
        <v>0</v>
      </c>
    </row>
    <row r="18" spans="1:10" x14ac:dyDescent="0.3">
      <c r="A18" s="43" t="s">
        <v>345</v>
      </c>
    </row>
    <row r="19" spans="1:10" x14ac:dyDescent="0.3">
      <c r="A19" s="43" t="s">
        <v>344</v>
      </c>
    </row>
    <row r="20" spans="1:10" x14ac:dyDescent="0.3">
      <c r="A20" s="43" t="s">
        <v>346</v>
      </c>
    </row>
    <row r="21" spans="1:10" ht="4.8" customHeight="1" x14ac:dyDescent="0.3"/>
    <row r="23" spans="1:10" ht="46.2" customHeight="1" x14ac:dyDescent="0.3">
      <c r="A23" s="42" t="s">
        <v>261</v>
      </c>
      <c r="C23" s="84" t="s">
        <v>262</v>
      </c>
      <c r="D23" s="84"/>
      <c r="E23" s="84"/>
      <c r="F23" s="84"/>
      <c r="G23" s="84"/>
      <c r="H23" s="84"/>
      <c r="I23" s="84"/>
      <c r="J23" s="84"/>
    </row>
    <row r="24" spans="1:10" ht="46.2" customHeight="1" x14ac:dyDescent="0.3">
      <c r="A24" s="42" t="s">
        <v>242</v>
      </c>
      <c r="C24" s="84" t="s">
        <v>255</v>
      </c>
      <c r="D24" s="84"/>
      <c r="E24" s="84"/>
      <c r="F24" s="84"/>
      <c r="G24" s="84"/>
      <c r="H24" s="84"/>
      <c r="I24" s="84"/>
      <c r="J24" s="84"/>
    </row>
    <row r="25" spans="1:10" ht="46.2" customHeight="1" x14ac:dyDescent="0.3">
      <c r="A25" s="42" t="s">
        <v>243</v>
      </c>
      <c r="C25" s="84" t="s">
        <v>256</v>
      </c>
      <c r="D25" s="84"/>
      <c r="E25" s="84"/>
      <c r="F25" s="84"/>
      <c r="G25" s="84"/>
      <c r="H25" s="84"/>
      <c r="I25" s="84"/>
      <c r="J25" s="84"/>
    </row>
    <row r="26" spans="1:10" ht="46.2" customHeight="1" x14ac:dyDescent="0.3">
      <c r="A26" s="42" t="s">
        <v>244</v>
      </c>
      <c r="C26" s="84" t="s">
        <v>257</v>
      </c>
      <c r="D26" s="84"/>
      <c r="E26" s="84"/>
      <c r="F26" s="84"/>
      <c r="G26" s="84"/>
      <c r="H26" s="84"/>
      <c r="I26" s="84"/>
      <c r="J26" s="84"/>
    </row>
    <row r="27" spans="1:10" ht="46.2" customHeight="1" x14ac:dyDescent="0.3">
      <c r="A27" s="42" t="s">
        <v>251</v>
      </c>
      <c r="C27" s="84" t="s">
        <v>258</v>
      </c>
      <c r="D27" s="84"/>
      <c r="E27" s="84"/>
      <c r="F27" s="84"/>
      <c r="G27" s="84"/>
      <c r="H27" s="84"/>
      <c r="I27" s="84"/>
      <c r="J27" s="84"/>
    </row>
    <row r="28" spans="1:10" ht="46.2" customHeight="1" x14ac:dyDescent="0.3">
      <c r="A28" s="42" t="s">
        <v>252</v>
      </c>
      <c r="C28" s="84" t="s">
        <v>259</v>
      </c>
      <c r="D28" s="84"/>
      <c r="E28" s="84"/>
      <c r="F28" s="84"/>
      <c r="G28" s="84"/>
      <c r="H28" s="84"/>
      <c r="I28" s="84"/>
      <c r="J28" s="84"/>
    </row>
    <row r="29" spans="1:10" ht="46.2" customHeight="1" x14ac:dyDescent="0.3">
      <c r="A29" s="42" t="s">
        <v>253</v>
      </c>
      <c r="C29" s="84" t="s">
        <v>266</v>
      </c>
      <c r="D29" s="84"/>
      <c r="E29" s="84"/>
      <c r="F29" s="84"/>
      <c r="G29" s="84"/>
      <c r="H29" s="84"/>
      <c r="I29" s="84"/>
      <c r="J29" s="84"/>
    </row>
    <row r="30" spans="1:10" ht="46.8" customHeight="1" x14ac:dyDescent="0.3">
      <c r="A30" s="42" t="s">
        <v>264</v>
      </c>
      <c r="C30" s="84" t="s">
        <v>265</v>
      </c>
      <c r="D30" s="84"/>
      <c r="E30" s="84"/>
      <c r="F30" s="84"/>
      <c r="G30" s="84"/>
      <c r="H30" s="84"/>
      <c r="I30" s="84"/>
      <c r="J30" s="84"/>
    </row>
    <row r="31" spans="1:10" x14ac:dyDescent="0.3">
      <c r="B31"/>
    </row>
  </sheetData>
  <mergeCells count="9">
    <mergeCell ref="C29:J29"/>
    <mergeCell ref="C30:J30"/>
    <mergeCell ref="A1:J1"/>
    <mergeCell ref="C23:J23"/>
    <mergeCell ref="C24:J24"/>
    <mergeCell ref="C25:J25"/>
    <mergeCell ref="C26:J26"/>
    <mergeCell ref="C27:J27"/>
    <mergeCell ref="C28:J28"/>
  </mergeCells>
  <phoneticPr fontId="11" type="noConversion"/>
  <pageMargins left="0.25" right="0.2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7</vt:i4>
      </vt:variant>
    </vt:vector>
  </HeadingPairs>
  <TitlesOfParts>
    <vt:vector size="7" baseType="lpstr">
      <vt:lpstr>Dadi</vt:lpstr>
      <vt:lpstr>Scheda Base</vt:lpstr>
      <vt:lpstr>Azioni</vt:lpstr>
      <vt:lpstr>Utilizo PE</vt:lpstr>
      <vt:lpstr>Attacco</vt:lpstr>
      <vt:lpstr>Dati</vt:lpstr>
      <vt:lpstr>Esperienza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Claudio Bartolini</dc:creator>
  <cp:lastModifiedBy>Claudio Bartolini</cp:lastModifiedBy>
  <cp:lastPrinted>2025-10-08T16:02:11Z</cp:lastPrinted>
  <dcterms:created xsi:type="dcterms:W3CDTF">2025-10-05T22:02:24Z</dcterms:created>
  <dcterms:modified xsi:type="dcterms:W3CDTF">2025-10-16T22:46:45Z</dcterms:modified>
</cp:coreProperties>
</file>