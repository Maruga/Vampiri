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C7697E92-4897-4AE7-8739-EF232D962609}" xr6:coauthVersionLast="47" xr6:coauthVersionMax="47" xr10:uidLastSave="{00000000-0000-0000-0000-000000000000}"/>
  <bookViews>
    <workbookView xWindow="9996" yWindow="504" windowWidth="31584" windowHeight="15228" activeTab="8" xr2:uid="{3C69CAEB-EF54-41D7-B74D-5F784B8051C2}"/>
  </bookViews>
  <sheets>
    <sheet name="_Malkavian" sheetId="19" r:id="rId1"/>
    <sheet name="_Ventrue" sheetId="18" r:id="rId2"/>
    <sheet name="_Toreador" sheetId="17" r:id="rId3"/>
    <sheet name="_Nosferatu" sheetId="16" r:id="rId4"/>
    <sheet name="_Gangrel" sheetId="15" r:id="rId5"/>
    <sheet name="_Brujah" sheetId="14" r:id="rId6"/>
    <sheet name="Scheda V5" sheetId="8" r:id="rId7"/>
    <sheet name="Scheda V3" sheetId="1" r:id="rId8"/>
    <sheet name="Tempo" sheetId="13" r:id="rId9"/>
    <sheet name="Dadi" sheetId="7" r:id="rId10"/>
    <sheet name="Natura" sheetId="3" r:id="rId11"/>
    <sheet name="Esperienza" sheetId="4" r:id="rId12"/>
    <sheet name="Utilizo PE"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0" i="7" a="1"/>
  <c r="G21"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<sst xmlns="http://schemas.openxmlformats.org/spreadsheetml/2006/main" count="2167" uniqueCount="746">
  <si>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</si>
  <si>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</si>
  <si>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</si>
  <si>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</si>
  <si>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</si>
  <si>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</si>
  <si>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</si>
  <si>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</si>
  <si>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</si>
  <si>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</si>
  <si>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</si>
  <si>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</si>
  <si>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</si>
  <si>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</si>
  <si>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</si>
  <si>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</si>
  <si>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</si>
  <si>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</si>
  <si>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</si>
  <si>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</si>
  <si>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</si>
  <si>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</si>
  <si>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</si>
  <si>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</si>
  <si>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</si>
  <si>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</si>
  <si>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</si>
  <si>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</si>
  <si>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</si>
  <si>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</si>
  <si>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</si>
  <si>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</si>
  <si>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</si>
  <si>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</si>
  <si>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</si>
  <si>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</si>
  <si>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</si>
  <si>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</si>
  <si>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</si>
  <si>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</si>
  <si>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</si>
  <si>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</si>
  <si>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</si>
  <si>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</si>
  <si>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</si>
  <si>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</si>
  <si>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</si>
  <si>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</si>
  <si>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</si>
  <si>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</si>
  <si>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</si>
  <si>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</si>
  <si>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</si>
  <si>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</si>
  <si>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</si>
  <si>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</si>
  <si>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</si>
  <si>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</si>
  <si>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</si>
  <si>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</si>
  <si>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</si>
  <si>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</si>
  <si>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</si>
  <si>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</si>
  <si>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</si>
  <si>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</si>
  <si>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</si>
  <si>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</si>
  <si>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</si>
  <si>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</si>
  <si>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</si>
  <si>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</si>
  <si>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</si>
  <si>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</si>
  <si>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</si>
  <si>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</si>
  <si>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</si>
  <si>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</si>
  <si>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</si>
  <si>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</si>
  <si>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</si>
  <si>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</si>
  <si>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</si>
  <si>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</si>
  <si>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</si>
  <si>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</si>
  <si>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</si>
  <si>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</si>
  <si>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</si>
  <si>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</si>
  <si>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</si>
  <si>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</si>
  <si>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</si>
  <si>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</si>
  <si>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</si>
  <si>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</si>
  <si>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</si>
  <si>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</si>
  <si>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</si>
  <si>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</si>
  <si>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</si>
  <si>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</si>
  <si>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</si>
  <si>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</si>
  <si>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</si>
  <si>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</si>
  <si>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</si>
  <si>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</si>
  <si>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</si>
  <si>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</si>
  <si>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</si>
  <si>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</si>
  <si>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</si>
  <si>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</si>
  <si>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</si>
  <si>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</si>
  <si>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</si>
  <si>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</si>
  <si>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</si>
  <si>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</si>
  <si>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</si>
  <si>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</si>
  <si>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</si>
  <si>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</si>
  <si>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</si>
  <si>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</si>
  <si>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</si>
  <si>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</si>
  <si>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</si>
  <si>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</si>
  <si>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</si>
  <si>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</si>
  <si>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Contundente</t>
  </si>
  <si>
    <t>Letale</t>
  </si>
  <si>
    <t>Aggravato</t>
  </si>
  <si>
    <t>Contuso</t>
  </si>
  <si>
    <t>Graffiato</t>
  </si>
  <si>
    <t>Leso</t>
  </si>
  <si>
    <t>Ferito</t>
  </si>
  <si>
    <t>Menomato</t>
  </si>
  <si>
    <t>Incapacitato</t>
  </si>
  <si>
    <t>10 / 1</t>
  </si>
  <si>
    <t>Penalità</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</si>
  <si>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</si>
  <si>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</si>
  <si>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</si>
  <si>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</si>
  <si>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</si>
  <si>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</si>
  <si>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</si>
  <si>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</si>
  <si>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</si>
  <si>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</si>
  <si>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</si>
  <si>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</si>
  <si>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</si>
  <si>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</si>
  <si>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</si>
  <si>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</si>
  <si>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</si>
  <si>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</si>
  <si>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</si>
  <si>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</si>
  <si>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</si>
  <si>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</si>
  <si>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</si>
  <si>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</si>
  <si>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</si>
  <si>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</si>
  <si>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</si>
  <si>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</si>
  <si>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</si>
  <si>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</si>
  <si>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</si>
  <si>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</si>
  <si>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</si>
  <si>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</si>
  <si>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</si>
  <si>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</si>
  <si>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</si>
  <si>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</si>
  <si>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</si>
  <si>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</si>
  <si>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</si>
  <si>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</si>
  <si>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</si>
  <si>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</si>
  <si>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</si>
  <si>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</si>
  <si>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</si>
  <si>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</si>
  <si>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</si>
  <si>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</si>
  <si>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</si>
  <si>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</si>
  <si>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</si>
  <si>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</si>
  <si>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</si>
  <si>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</si>
  <si>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</si>
  <si>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</si>
  <si>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</si>
  <si>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</si>
  <si>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</si>
  <si>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</si>
  <si>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</si>
  <si>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</si>
  <si>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</si>
  <si>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</si>
  <si>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</si>
  <si>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</si>
  <si>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</si>
  <si>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</si>
  <si>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</si>
  <si>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</si>
  <si>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</si>
  <si>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</si>
  <si>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</si>
  <si>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</si>
  <si>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</si>
  <si>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</si>
  <si>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</si>
  <si>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</si>
  <si>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</si>
  <si>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</si>
  <si>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</si>
  <si>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</si>
  <si>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</si>
  <si>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</si>
  <si>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</si>
  <si>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</si>
  <si>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</si>
  <si>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</si>
  <si>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</si>
  <si>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</si>
  <si>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</si>
  <si>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</si>
  <si>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</si>
  <si>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</si>
  <si>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</si>
  <si>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</si>
  <si>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</si>
  <si>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</si>
  <si>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</si>
  <si>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</si>
  <si>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</si>
  <si>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</si>
  <si>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</si>
  <si>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</si>
  <si>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</si>
  <si>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</si>
  <si>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</si>
  <si>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</si>
  <si>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</si>
  <si>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</si>
  <si>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</si>
  <si>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</si>
  <si>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</si>
  <si>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</si>
  <si>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</si>
  <si>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</si>
  <si>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</si>
  <si>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</si>
  <si>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</si>
  <si>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</si>
  <si>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</si>
  <si>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</si>
  <si>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</si>
  <si>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</si>
  <si>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</si>
  <si>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</si>
  <si>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</si>
  <si>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</si>
  <si>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</si>
  <si>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</si>
  <si>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</si>
  <si>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</si>
  <si>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</si>
  <si>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</si>
  <si>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</si>
  <si>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</si>
  <si>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</si>
  <si>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</si>
  <si>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</si>
  <si>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</si>
  <si>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</si>
  <si>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</si>
  <si>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</si>
  <si>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</si>
  <si>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</si>
  <si>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</si>
  <si>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</si>
  <si>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</si>
  <si>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</si>
  <si>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</si>
  <si>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</si>
  <si>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</si>
  <si>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</si>
  <si>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</si>
  <si>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</si>
  <si>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</si>
  <si>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</si>
  <si>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</si>
  <si>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</si>
  <si>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</si>
  <si>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</si>
  <si>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</si>
  <si>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</si>
  <si>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</si>
  <si>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</si>
  <si>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</si>
  <si>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</si>
  <si>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</si>
  <si>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</si>
  <si>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</si>
  <si>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</si>
  <si>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</si>
  <si>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</si>
  <si>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</si>
  <si>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</si>
  <si>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</si>
  <si>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</si>
  <si>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</si>
  <si>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</si>
  <si>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</si>
  <si>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</si>
  <si>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</si>
  <si>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</si>
  <si>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</si>
  <si>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</si>
  <si>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</si>
  <si>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</si>
  <si>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</si>
  <si>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</si>
  <si>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</si>
  <si>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</si>
  <si>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</si>
  <si>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</si>
  <si>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</si>
  <si>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</si>
  <si>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</si>
  <si>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</si>
  <si>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</si>
  <si>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</si>
  <si>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</si>
  <si>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</si>
  <si>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</si>
  <si>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</si>
  <si>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</si>
  <si>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</si>
  <si>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</si>
  <si>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</si>
  <si>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</si>
  <si>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</si>
  <si>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</si>
  <si>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</si>
  <si>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</si>
  <si>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</si>
  <si>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</si>
  <si>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</si>
  <si>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</si>
  <si>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</si>
  <si>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Brujah</t>
  </si>
  <si>
    <t>Protettore</t>
  </si>
  <si>
    <t>Galante</t>
  </si>
  <si>
    <t>Indimenticabile</t>
  </si>
  <si>
    <t>Velocità</t>
  </si>
  <si>
    <t>Identità Alternativa</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</si>
  <si>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</si>
  <si>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</si>
  <si>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</si>
  <si>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</si>
  <si>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</si>
  <si>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</si>
  <si>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</si>
  <si>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</si>
  <si>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</si>
  <si>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</si>
  <si>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</si>
  <si>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</si>
  <si>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</si>
  <si>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</si>
  <si>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</si>
  <si>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</si>
  <si>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</si>
  <si>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</si>
  <si>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</si>
  <si>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</si>
  <si>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</si>
  <si>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</si>
  <si>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</si>
  <si>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</si>
  <si>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</si>
  <si>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</si>
  <si>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</si>
  <si>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</si>
  <si>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</si>
  <si>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</si>
  <si>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</si>
  <si>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</si>
  <si>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</si>
  <si>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</si>
  <si>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</si>
  <si>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</si>
  <si>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</si>
  <si>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</si>
  <si>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</si>
  <si>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</si>
  <si>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</si>
  <si>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</si>
  <si>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</si>
  <si>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</si>
  <si>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</si>
  <si>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</si>
  <si>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</si>
  <si>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</si>
  <si>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</si>
  <si>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</si>
  <si>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</si>
  <si>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</si>
  <si>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</si>
  <si>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</si>
  <si>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</si>
  <si>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</si>
  <si>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</si>
  <si>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</si>
  <si>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</si>
  <si>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</si>
  <si>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</si>
  <si>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</si>
  <si>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</si>
  <si>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</si>
  <si>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</si>
  <si>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</si>
  <si>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</si>
  <si>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</si>
  <si>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</si>
  <si>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</si>
  <si>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</si>
  <si>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</si>
  <si>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</si>
  <si>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</si>
  <si>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</si>
  <si>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</si>
  <si>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</si>
  <si>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</si>
  <si>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</si>
  <si>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</si>
  <si>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</si>
  <si>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</si>
  <si>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</si>
  <si>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</si>
  <si>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</si>
  <si>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</si>
  <si>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</si>
  <si>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</si>
  <si>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</si>
  <si>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</si>
  <si>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</si>
  <si>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</si>
  <si>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</si>
  <si>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</si>
  <si>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</si>
  <si>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</si>
  <si>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</si>
  <si>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</si>
  <si>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</si>
  <si>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</si>
  <si>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</si>
  <si>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</si>
  <si>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</si>
  <si>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</si>
  <si>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</si>
  <si>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</si>
  <si>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</si>
  <si>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</si>
  <si>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</si>
  <si>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</si>
  <si>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</si>
  <si>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</si>
  <si>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</si>
  <si>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</si>
  <si>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</si>
  <si>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</si>
  <si>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</si>
  <si>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</si>
  <si>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</si>
  <si>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</si>
  <si>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</si>
  <si>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</si>
  <si>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</si>
  <si>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</si>
  <si>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</si>
  <si>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</si>
  <si>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</si>
  <si>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</si>
  <si>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</si>
  <si>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</si>
  <si>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</si>
  <si>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</si>
  <si>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</si>
  <si>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</si>
  <si>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</si>
  <si>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</si>
  <si>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</si>
  <si>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</si>
  <si>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</si>
  <si>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</si>
  <si>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</si>
  <si>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</si>
  <si>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</si>
  <si>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</si>
  <si>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</si>
  <si>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</si>
  <si>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</si>
  <si>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</si>
  <si>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</si>
  <si>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</si>
  <si>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</si>
  <si>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</si>
  <si>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</si>
  <si>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</si>
  <si>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</si>
  <si>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</si>
  <si>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</si>
  <si>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</si>
  <si>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</si>
  <si>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</si>
  <si>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</si>
  <si>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</si>
  <si>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</si>
  <si>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</si>
  <si>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</si>
  <si>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</si>
  <si>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</si>
  <si>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</si>
  <si>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</si>
  <si>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</si>
  <si>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</si>
  <si>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</si>
  <si>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</si>
  <si>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</si>
  <si>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</si>
  <si>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</si>
  <si>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</si>
  <si>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</si>
  <si>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</si>
  <si>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</si>
  <si>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</si>
  <si>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</si>
  <si>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</si>
  <si>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</si>
  <si>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</si>
  <si>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</si>
  <si>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</si>
  <si>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</si>
  <si>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</si>
  <si>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</si>
  <si>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</si>
  <si>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</si>
  <si>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</si>
  <si>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</si>
  <si>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</si>
  <si>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</si>
  <si>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</si>
  <si>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</si>
  <si>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</si>
  <si>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</si>
  <si>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</si>
  <si>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</si>
  <si>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</si>
  <si>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</si>
  <si>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</si>
  <si>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</si>
  <si>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</si>
  <si>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</si>
  <si>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</si>
  <si>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</si>
  <si>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</si>
  <si>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</si>
  <si>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</si>
  <si>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</si>
  <si>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</si>
  <si>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</si>
  <si>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</si>
  <si>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</si>
  <si>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</si>
  <si>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</si>
  <si>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</si>
  <si>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</si>
  <si>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</si>
  <si>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</si>
  <si>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</si>
  <si>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</si>
  <si>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</si>
  <si>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</si>
  <si>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</si>
  <si>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</si>
  <si>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</si>
  <si>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</si>
  <si>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</si>
  <si>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</si>
  <si>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</si>
  <si>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</si>
  <si>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</si>
  <si>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</si>
  <si>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</si>
  <si>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</si>
  <si>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</si>
  <si>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</si>
  <si>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</si>
  <si>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</si>
  <si>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</si>
  <si>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</si>
  <si>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</si>
  <si>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</si>
  <si>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</si>
  <si>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</si>
  <si>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</si>
  <si>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</si>
  <si>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</si>
  <si>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</si>
  <si>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</si>
  <si>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</si>
  <si>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</si>
  <si>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</si>
  <si>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</si>
  <si>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</si>
  <si>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</si>
  <si>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</si>
  <si>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</si>
  <si>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</si>
  <si>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</si>
  <si>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</si>
  <si>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</si>
  <si>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</si>
  <si>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</si>
  <si>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</si>
  <si>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</si>
  <si>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</si>
  <si>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</si>
  <si>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</si>
  <si>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</si>
  <si>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</si>
  <si>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</si>
  <si>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</si>
  <si>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</si>
  <si>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</si>
  <si>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</si>
  <si>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</si>
  <si>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</si>
  <si>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</si>
  <si>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</si>
  <si>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</si>
  <si>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</si>
  <si>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</si>
  <si>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</si>
  <si>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</si>
  <si>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</si>
  <si>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</si>
  <si>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</si>
  <si>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</si>
  <si>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</si>
  <si>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</si>
  <si>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</si>
  <si>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</si>
  <si>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</si>
  <si>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</si>
  <si>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</si>
  <si>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</si>
  <si>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</si>
  <si>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</si>
  <si>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</si>
  <si>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</si>
  <si>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</si>
  <si>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</si>
  <si>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</si>
  <si>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</si>
  <si>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</si>
  <si>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</si>
  <si>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</si>
  <si>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</si>
  <si>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</si>
  <si>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</si>
  <si>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</si>
  <si>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</si>
  <si>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</si>
  <si>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</si>
  <si>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</si>
  <si>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</si>
  <si>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</si>
  <si>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</si>
  <si>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</si>
  <si>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</si>
  <si>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</si>
  <si>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</si>
  <si>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</si>
  <si>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</si>
  <si>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</si>
  <si>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</si>
  <si>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</si>
  <si>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</si>
  <si>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</si>
  <si>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</si>
  <si>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</si>
  <si>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</si>
  <si>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</si>
  <si>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</si>
  <si>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</si>
  <si>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</si>
  <si>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</si>
  <si>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</si>
  <si>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</si>
  <si>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</si>
  <si>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</si>
  <si>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</si>
  <si>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</si>
  <si>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</si>
  <si>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</si>
  <si>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</si>
  <si>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</si>
  <si>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</si>
  <si>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</si>
  <si>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</si>
  <si>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</si>
  <si>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</si>
  <si>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</si>
  <si>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</si>
  <si>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</si>
  <si>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</si>
  <si>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</si>
  <si>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</si>
  <si>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</si>
  <si>
    <t>🤫 Parla poco, ascolta molto. Quelli che parlano troppo, spariscono in fretta.</t>
  </si>
  <si>
    <t>⚖️ Chi ti offre potere senza prezzo... sta solo aspettando di riscuotere.</t>
  </si>
  <si>
    <t>🎁 Fai favori piccoli e ne riceverai di grandi. Fai favori grandi… e qualcuno vorrà eliminarti.</t>
  </si>
  <si>
    <t>👁️ Mai essere l'ultimo a sapere. Mai essere il primo a parlare.</t>
  </si>
  <si>
    <t>🩸 Ricorda chi ti ha presentato… e chi non l'ha fatto.</t>
  </si>
  <si>
    <t>🚪 Non entrare dove non sei stato invitato. Né nei luoghi, né nei giochi.</t>
  </si>
  <si>
    <t>🐍 Quando qualcuno dice "fidati di me", è già troppo tardi.</t>
  </si>
  <si>
    <t>💀 Sei un vampiro e sei morto.</t>
  </si>
  <si>
    <t>🍷 Chi si nutre con troppa fame, attira attenzioni indesiderate.</t>
  </si>
  <si>
    <t>🏛️ L'Elysium non è un luogo sicuro. È solo un luogo dove la lama si nasconde dietro la parola.</t>
  </si>
  <si>
    <t>🩹 Mostrare il dolore è come versare sangue in mare. I predatori sentono l'odore.</t>
  </si>
  <si>
    <t>🎭 A volte l'unico modo per vincere… è far finta di perdere.</t>
  </si>
  <si>
    <t>Incontro con Arpia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</si>
</sst>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24">
    <xf numFmtId="0" fontId="0" fillId="0" borderId="0" xfId="0"/>
    <xf numFmtId="0" fontId="1" fillId="0" borderId="0" xfId="0" applyFont="1" applyAlignment="1">
      <alignment horizontal="center" vertical="top"/>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1" fillId="0" borderId="0" xfId="0" applyNumberFormat="1" applyFont="1" applyAlignment="1">
      <alignment horizontal="center" vertical="center"/>
    </xf>
    <xf numFmtId="0" fontId="13" fillId="0" borderId="0" xfId="0" applyFont="1" applyAlignment="1">
      <alignment vertical="center"/>
    </xf>
    <xf numFmtId="0" fontId="14" fillId="0" borderId="0" xfId="0" applyFont="1" applyAlignment="1">
      <alignment horizontal="left" vertical="center"/>
    </xf>
    <xf numFmtId="0" fontId="17" fillId="0" borderId="0" xfId="0" applyFont="1" applyAlignment="1">
      <alignment horizontal="center" vertical="center"/>
    </xf>
    <xf numFmtId="0" fontId="19" fillId="0" borderId="0" xfId="0" applyFont="1" applyAlignment="1">
      <alignment horizontal="left" vertical="center"/>
    </xf>
    <xf numFmtId="0" fontId="18" fillId="0" borderId="0" xfId="0" applyFont="1"/>
    <xf numFmtId="0" fontId="20" fillId="0" borderId="0" xfId="0" applyFont="1" applyAlignment="1">
      <alignment vertical="center"/>
    </xf>
    <xf numFmtId="0" fontId="20" fillId="0" borderId="0" xfId="0" applyFont="1" applyAlignment="1">
      <alignment horizontal="left" vertical="center"/>
    </xf>
    <xf numFmtId="0" fontId="21" fillId="0" borderId="0" xfId="0" applyFont="1" applyAlignment="1">
      <alignment horizontal="left" vertical="center"/>
    </xf>
    <xf numFmtId="0" fontId="22" fillId="0" borderId="0" xfId="0" applyFont="1" applyAlignment="1">
      <alignment horizontal="left" vertical="center"/>
    </xf>
    <xf numFmtId="0" fontId="15"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horizontal="center" vertical="center"/>
    </xf>
    <xf numFmtId="0" fontId="8" fillId="2" borderId="0" xfId="0" applyFont="1" applyFill="1"/>
    <xf numFmtId="0" fontId="8" fillId="2" borderId="0" xfId="0" applyFont="1" applyFill="1" applyAlignment="1">
      <alignment horizontal="center"/>
    </xf>
    <xf numFmtId="0" fontId="0" fillId="2" borderId="0" xfId="0" applyFill="1"/>
    <xf numFmtId="0" fontId="8" fillId="0" borderId="0" xfId="0" applyFont="1"/>
    <xf numFmtId="0" fontId="10" fillId="0" borderId="0" xfId="0" applyFont="1" applyAlignment="1">
      <alignment vertical="center"/>
    </xf>
    <xf numFmtId="0" fontId="16" fillId="0" borderId="0" xfId="0" applyFont="1"/>
    <xf numFmtId="0" fontId="16"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6" fillId="0" borderId="10" xfId="0" applyFont="1" applyBorder="1" applyAlignment="1">
      <alignment horizontal="left" vertical="top"/>
    </xf>
    <xf numFmtId="0" fontId="0" fillId="0" borderId="11" xfId="0" applyBorder="1"/>
    <xf numFmtId="0" fontId="16" fillId="0" borderId="11" xfId="0" applyFont="1" applyBorder="1" applyAlignment="1">
      <alignment horizontal="left" vertical="top"/>
    </xf>
    <xf numFmtId="0" fontId="23" fillId="0" borderId="0" xfId="0" applyFont="1"/>
    <xf numFmtId="0" fontId="24" fillId="0" borderId="0" xfId="0" applyFont="1" applyAlignment="1">
      <alignment horizontal="center" vertical="center" wrapText="1"/>
    </xf>
    <xf numFmtId="0" fontId="25" fillId="0" borderId="0" xfId="0" applyFont="1"/>
    <xf numFmtId="0" fontId="25" fillId="0" borderId="0" xfId="0" applyFont="1" applyAlignment="1">
      <alignment horizontal="center" vertical="center"/>
    </xf>
    <xf numFmtId="0" fontId="25" fillId="0" borderId="0" xfId="0" applyFont="1" applyAlignment="1">
      <alignment vertical="center"/>
    </xf>
    <xf numFmtId="0" fontId="27" fillId="0" borderId="0" xfId="0" applyFont="1" applyAlignment="1">
      <alignment horizontal="center" vertical="center"/>
    </xf>
    <xf numFmtId="0" fontId="29" fillId="0" borderId="0" xfId="0" applyFont="1" applyAlignment="1">
      <alignment horizontal="center" vertical="center"/>
    </xf>
    <xf numFmtId="0" fontId="28"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6"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3"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3"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3"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3"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3" fillId="0" borderId="13" xfId="0" applyFont="1" applyBorder="1" applyAlignment="1">
      <alignment vertical="center"/>
    </xf>
    <xf numFmtId="0" fontId="33" fillId="0" borderId="8" xfId="0" applyFont="1" applyBorder="1" applyAlignment="1">
      <alignment vertical="center"/>
    </xf>
    <xf numFmtId="0" fontId="34" fillId="0" borderId="0" xfId="0" applyFont="1" applyAlignment="1">
      <alignment horizontal="center" vertical="center"/>
    </xf>
    <xf numFmtId="0" fontId="34" fillId="0" borderId="0" xfId="0" applyFont="1" applyAlignment="1">
      <alignment vertical="center"/>
    </xf>
    <xf numFmtId="0" fontId="34" fillId="0" borderId="0" xfId="0" applyFont="1" applyAlignment="1">
      <alignment horizontal="right" vertical="center"/>
    </xf>
    <xf numFmtId="0" fontId="33"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3"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3" fillId="0" borderId="1" xfId="0" applyFont="1" applyBorder="1" applyAlignment="1">
      <alignment horizontal="left" vertical="center"/>
    </xf>
    <xf numFmtId="0" fontId="7" fillId="0" borderId="0" xfId="0" applyFont="1" applyAlignment="1">
      <alignment vertical="center"/>
    </xf>
    <xf numFmtId="0" fontId="34" fillId="0" borderId="8" xfId="0" applyFont="1" applyBorder="1" applyAlignment="1">
      <alignment horizontal="center" vertical="center"/>
    </xf>
    <xf numFmtId="0" fontId="34" fillId="0" borderId="8" xfId="0" applyFont="1" applyBorder="1" applyAlignment="1">
      <alignment vertical="center"/>
    </xf>
    <xf numFmtId="0" fontId="5" fillId="0" borderId="0" xfId="0" applyFont="1" applyAlignment="1">
      <alignment horizontal="right" vertical="center"/>
    </xf>
    <xf numFmtId="0" fontId="33" fillId="0" borderId="7" xfId="0" applyFont="1" applyBorder="1" applyAlignment="1">
      <alignment vertical="center"/>
    </xf>
    <xf numFmtId="0" fontId="33" fillId="0" borderId="5" xfId="0" applyFont="1" applyBorder="1" applyAlignment="1">
      <alignment horizontal="center" vertical="center"/>
    </xf>
    <xf numFmtId="0" fontId="33" fillId="0" borderId="2" xfId="0" applyFont="1" applyBorder="1" applyAlignment="1">
      <alignment horizontal="center" vertical="center"/>
    </xf>
    <xf numFmtId="0" fontId="33" fillId="0" borderId="3" xfId="0" applyFont="1" applyBorder="1" applyAlignment="1">
      <alignment horizontal="center" vertical="center"/>
    </xf>
    <xf numFmtId="0" fontId="35" fillId="0" borderId="6" xfId="0" applyFont="1" applyBorder="1" applyAlignment="1">
      <alignment vertical="center"/>
    </xf>
    <xf numFmtId="0" fontId="35" fillId="0" borderId="1" xfId="0" applyFont="1" applyBorder="1" applyAlignment="1">
      <alignment vertical="center"/>
    </xf>
    <xf numFmtId="0" fontId="35"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3" fillId="0" borderId="8" xfId="0" applyFont="1" applyBorder="1" applyAlignment="1">
      <alignment horizontal="center" vertical="center"/>
    </xf>
    <xf numFmtId="0" fontId="33" fillId="0" borderId="13" xfId="0" applyFont="1" applyBorder="1" applyAlignment="1">
      <alignment horizontal="center" vertical="center"/>
    </xf>
    <xf numFmtId="0" fontId="33" fillId="0" borderId="3" xfId="0" applyFont="1" applyBorder="1" applyAlignment="1">
      <alignment vertical="center"/>
    </xf>
    <xf numFmtId="0" fontId="33" fillId="0" borderId="12" xfId="0" applyFont="1" applyBorder="1" applyAlignment="1">
      <alignment vertical="center"/>
    </xf>
    <xf numFmtId="0" fontId="32" fillId="0" borderId="1" xfId="0" applyFont="1" applyBorder="1" applyAlignment="1">
      <alignment vertical="center"/>
    </xf>
    <xf numFmtId="0" fontId="34"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4" fillId="0" borderId="7" xfId="0" applyFont="1" applyBorder="1" applyAlignment="1">
      <alignment horizontal="right" vertical="center"/>
    </xf>
    <xf numFmtId="0" fontId="33"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3" fillId="0" borderId="8" xfId="0" quotePrefix="1" applyFont="1" applyBorder="1" applyAlignment="1">
      <alignment vertical="center"/>
    </xf>
    <xf numFmtId="0" fontId="36" fillId="0" borderId="8" xfId="0" applyFont="1" applyBorder="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37" fillId="0" borderId="0" xfId="0" applyFont="1" applyAlignment="1">
      <alignment vertical="center"/>
    </xf>
    <xf numFmtId="0" fontId="38" fillId="0" borderId="0" xfId="0" applyFont="1" applyAlignment="1">
      <alignment horizontal="left" vertical="center"/>
    </xf>
    <xf numFmtId="0" fontId="39"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0" fillId="0" borderId="0" xfId="0" applyFont="1" applyAlignment="1">
      <alignment horizontal="left" vertical="center"/>
    </xf>
    <xf numFmtId="0" fontId="43" fillId="0" borderId="0" xfId="0" applyFont="1" applyAlignment="1">
      <alignment horizontal="left" vertical="center"/>
    </xf>
    <xf numFmtId="0" fontId="44" fillId="0" borderId="0" xfId="0" applyFont="1" applyAlignment="1">
      <alignment horizontal="left" vertical="center"/>
    </xf>
    <xf numFmtId="0" fontId="45" fillId="0" borderId="0" xfId="0" applyFont="1" applyAlignment="1">
      <alignment horizontal="left" vertical="center"/>
    </xf>
    <xf numFmtId="0" fontId="46" fillId="0" borderId="0" xfId="0" applyFont="1" applyAlignment="1">
      <alignment vertical="center"/>
    </xf>
    <xf numFmtId="0" fontId="43" fillId="0" borderId="0" xfId="0" applyFont="1" applyAlignment="1">
      <alignment horizontal="center" vertical="center"/>
    </xf>
    <xf numFmtId="0" fontId="5" fillId="0" borderId="13" xfId="0" quotePrefix="1" applyFont="1" applyBorder="1" applyAlignment="1">
      <alignment horizontal="left" vertical="center"/>
    </xf>
    <xf numFmtId="0" fontId="43" fillId="0" borderId="13" xfId="0" applyFont="1" applyBorder="1" applyAlignment="1">
      <alignment horizontal="center" vertical="center"/>
    </xf>
    <xf numFmtId="0" fontId="40" fillId="0" borderId="0" xfId="0" applyFont="1" applyAlignment="1">
      <alignment horizontal="right" vertical="center"/>
    </xf>
    <xf numFmtId="0" fontId="3" fillId="0" borderId="8" xfId="0" applyFont="1" applyBorder="1" applyAlignment="1">
      <alignment vertical="center"/>
    </xf>
    <xf numFmtId="0" fontId="40" fillId="0" borderId="0" xfId="0" applyFont="1" applyAlignment="1">
      <alignment horizontal="center" vertical="center"/>
    </xf>
    <xf numFmtId="0" fontId="36" fillId="0" borderId="8" xfId="0" applyFont="1" applyBorder="1" applyAlignment="1">
      <alignment horizontal="right" vertical="center"/>
    </xf>
    <xf numFmtId="0" fontId="5" fillId="0" borderId="0" xfId="0" quotePrefix="1" applyFont="1" applyAlignment="1">
      <alignment vertical="center"/>
    </xf>
    <xf numFmtId="0" fontId="49" fillId="0" borderId="4" xfId="0" applyFont="1" applyBorder="1"/>
    <xf numFmtId="0" fontId="49" fillId="0" borderId="2" xfId="0" applyFont="1" applyBorder="1"/>
    <xf numFmtId="0" fontId="49" fillId="0" borderId="3" xfId="0" applyFont="1" applyBorder="1"/>
    <xf numFmtId="0" fontId="49" fillId="0" borderId="8" xfId="0" applyFont="1" applyBorder="1"/>
    <xf numFmtId="0" fontId="50" fillId="0" borderId="2" xfId="0" applyFont="1" applyBorder="1"/>
    <xf numFmtId="0" fontId="47" fillId="0" borderId="0" xfId="0" applyFont="1" applyAlignment="1">
      <alignment horizontal="center" vertical="center"/>
    </xf>
    <xf numFmtId="0" fontId="47" fillId="0" borderId="0" xfId="0" applyFont="1" applyAlignment="1">
      <alignment vertical="center"/>
    </xf>
    <xf numFmtId="164" fontId="0" fillId="0" borderId="0" xfId="0" applyNumberFormat="1" applyAlignment="1">
      <alignment vertical="center"/>
    </xf>
    <xf numFmtId="164" fontId="48" fillId="0" borderId="0" xfId="0" applyNumberFormat="1" applyFont="1" applyAlignment="1">
      <alignment vertical="center"/>
    </xf>
    <xf numFmtId="0" fontId="48" fillId="0" borderId="0" xfId="0" applyFont="1" applyAlignment="1">
      <alignment horizontal="center" vertical="center"/>
    </xf>
    <xf numFmtId="0" fontId="49" fillId="0" borderId="24" xfId="0" applyFont="1" applyBorder="1"/>
    <xf numFmtId="0" fontId="49" fillId="0" borderId="0" xfId="0" applyFont="1"/>
    <xf numFmtId="0" fontId="49" fillId="0" borderId="19" xfId="0" applyFont="1" applyBorder="1"/>
    <xf numFmtId="0" fontId="49" fillId="0" borderId="25" xfId="0" applyFont="1" applyBorder="1"/>
    <xf numFmtId="0" fontId="49" fillId="0" borderId="26" xfId="0" applyFont="1" applyBorder="1"/>
    <xf numFmtId="0" fontId="50" fillId="0" borderId="24" xfId="0" applyFont="1" applyBorder="1"/>
    <xf numFmtId="0" fontId="50" fillId="0" borderId="0" xfId="0" applyFont="1"/>
    <xf numFmtId="0" fontId="50" fillId="0" borderId="19" xfId="0" applyFont="1" applyBorder="1"/>
    <xf numFmtId="0" fontId="50" fillId="0" borderId="29" xfId="0" applyFont="1" applyBorder="1"/>
    <xf numFmtId="0" fontId="50" fillId="0" borderId="30" xfId="0" applyFont="1" applyBorder="1"/>
    <xf numFmtId="0" fontId="50" fillId="0" borderId="31" xfId="0" applyFont="1" applyBorder="1"/>
    <xf numFmtId="0" fontId="50" fillId="0" borderId="32" xfId="0" applyFont="1" applyBorder="1"/>
    <xf numFmtId="0" fontId="50" fillId="0" borderId="33" xfId="0" applyFont="1" applyBorder="1"/>
    <xf numFmtId="0" fontId="7" fillId="0" borderId="8" xfId="0" applyFont="1" applyBorder="1" applyAlignment="1">
      <alignment horizontal="right" vertical="center"/>
    </xf>
    <xf numFmtId="0" fontId="39"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38" fillId="0" borderId="13" xfId="0" applyFont="1" applyBorder="1" applyAlignment="1">
      <alignment horizontal="left" vertical="center"/>
    </xf>
    <xf numFmtId="0" fontId="7" fillId="0" borderId="0" xfId="0" applyFont="1" applyAlignment="1">
      <alignment horizontal="right" vertical="center"/>
    </xf>
    <xf numFmtId="0" fontId="30" fillId="0" borderId="0" xfId="0" applyFont="1" applyAlignment="1">
      <alignment vertical="center"/>
    </xf>
    <xf numFmtId="0" fontId="5" fillId="0" borderId="0" xfId="0" quotePrefix="1" applyFont="1" applyAlignment="1">
      <alignment horizontal="left" vertical="center"/>
    </xf>
    <xf numFmtId="0" fontId="38"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0" fillId="0" borderId="0" xfId="0" applyFont="1" applyAlignment="1">
      <alignment vertical="center"/>
    </xf>
    <xf numFmtId="0" fontId="45" fillId="0" borderId="13" xfId="0" applyFont="1" applyBorder="1" applyAlignment="1">
      <alignment horizontal="left" vertical="center"/>
    </xf>
    <xf numFmtId="0" fontId="51" fillId="0" borderId="8" xfId="0" applyFont="1" applyBorder="1" applyAlignment="1">
      <alignment horizontal="right" vertical="center"/>
    </xf>
    <xf numFmtId="0" fontId="40" fillId="0" borderId="0" xfId="0" quotePrefix="1" applyFont="1" applyAlignment="1">
      <alignment horizontal="left" vertical="center"/>
    </xf>
    <xf numFmtId="0" fontId="33" fillId="0" borderId="0" xfId="0" quotePrefix="1" applyFont="1" applyAlignment="1">
      <alignment vertical="center"/>
    </xf>
    <xf numFmtId="0" fontId="38" fillId="0" borderId="0" xfId="0" applyFont="1" applyAlignment="1">
      <alignment horizontal="center" vertical="center"/>
    </xf>
    <xf numFmtId="0" fontId="33" fillId="0" borderId="0" xfId="0" quotePrefix="1" applyFont="1" applyAlignment="1">
      <alignment horizontal="left" vertical="center"/>
    </xf>
    <xf numFmtId="0" fontId="45" fillId="0" borderId="8" xfId="0" applyFont="1" applyBorder="1" applyAlignment="1">
      <alignment horizontal="left" vertical="center"/>
    </xf>
    <xf numFmtId="0" fontId="1" fillId="0" borderId="8" xfId="0" quotePrefix="1" applyFont="1" applyBorder="1" applyAlignment="1">
      <alignment vertical="center"/>
    </xf>
    <xf numFmtId="0" fontId="33"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49" fillId="0" borderId="27" xfId="0" applyNumberFormat="1" applyFont="1" applyBorder="1" applyAlignment="1">
      <alignment horizontal="center"/>
    </xf>
    <xf numFmtId="164" fontId="49" fillId="0" borderId="5" xfId="0" applyNumberFormat="1" applyFont="1" applyBorder="1" applyAlignment="1">
      <alignment horizontal="center"/>
    </xf>
    <xf numFmtId="164" fontId="49" fillId="0" borderId="6" xfId="0" applyNumberFormat="1" applyFont="1" applyBorder="1" applyAlignment="1">
      <alignment horizontal="center"/>
    </xf>
    <xf numFmtId="164" fontId="49" fillId="0" borderId="28" xfId="0" applyNumberFormat="1" applyFont="1" applyBorder="1" applyAlignment="1">
      <alignment horizontal="center"/>
    </xf>
    <xf numFmtId="0" fontId="47" fillId="0" borderId="0" xfId="0" applyFont="1" applyAlignment="1">
      <alignment horizontal="center" vertical="center"/>
    </xf>
    <xf numFmtId="164" fontId="49" fillId="0" borderId="20" xfId="0" applyNumberFormat="1" applyFont="1" applyBorder="1" applyAlignment="1">
      <alignment horizontal="center"/>
    </xf>
    <xf numFmtId="164" fontId="49" fillId="0" borderId="21" xfId="0" applyNumberFormat="1" applyFont="1" applyBorder="1" applyAlignment="1">
      <alignment horizontal="center"/>
    </xf>
    <xf numFmtId="164" fontId="49" fillId="0" borderId="22" xfId="0" applyNumberFormat="1" applyFont="1" applyBorder="1" applyAlignment="1">
      <alignment horizontal="center"/>
    </xf>
    <xf numFmtId="164" fontId="49" fillId="0" borderId="23" xfId="0" applyNumberFormat="1" applyFont="1" applyBorder="1" applyAlignment="1">
      <alignment horizontal="center"/>
    </xf>
    <xf numFmtId="0" fontId="17" fillId="0" borderId="0" xfId="0" applyFont="1" applyAlignment="1">
      <alignment horizontal="left" vertical="center" wrapText="1"/>
    </xf>
    <xf numFmtId="0" fontId="10"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5.png"/><Relationship Id="rId7" Type="http://schemas.openxmlformats.org/officeDocument/2006/relationships/image" Target="../media/image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10.svg"/><Relationship Id="rId4" Type="http://schemas.openxmlformats.org/officeDocument/2006/relationships/image" Target="../media/image6.svg"/><Relationship Id="rId9" Type="http://schemas.openxmlformats.org/officeDocument/2006/relationships/image" Target="../media/image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7.svg"/><Relationship Id="rId13" Type="http://schemas.openxmlformats.org/officeDocument/2006/relationships/image" Target="../media/image22.png"/><Relationship Id="rId18" Type="http://schemas.openxmlformats.org/officeDocument/2006/relationships/image" Target="../media/image27.svg"/><Relationship Id="rId3" Type="http://schemas.openxmlformats.org/officeDocument/2006/relationships/image" Target="../media/image12.png"/><Relationship Id="rId7" Type="http://schemas.openxmlformats.org/officeDocument/2006/relationships/image" Target="../media/image16.png"/><Relationship Id="rId12" Type="http://schemas.openxmlformats.org/officeDocument/2006/relationships/image" Target="../media/image21.svg"/><Relationship Id="rId17" Type="http://schemas.openxmlformats.org/officeDocument/2006/relationships/image" Target="../media/image26.png"/><Relationship Id="rId2" Type="http://schemas.microsoft.com/office/2007/relationships/hdphoto" Target="../media/hdphoto1.wdp"/><Relationship Id="rId16" Type="http://schemas.openxmlformats.org/officeDocument/2006/relationships/image" Target="../media/image25.svg"/><Relationship Id="rId1" Type="http://schemas.openxmlformats.org/officeDocument/2006/relationships/image" Target="../media/image11.png"/><Relationship Id="rId6" Type="http://schemas.openxmlformats.org/officeDocument/2006/relationships/image" Target="../media/image15.svg"/><Relationship Id="rId11" Type="http://schemas.openxmlformats.org/officeDocument/2006/relationships/image" Target="../media/image20.png"/><Relationship Id="rId5" Type="http://schemas.openxmlformats.org/officeDocument/2006/relationships/image" Target="../media/image14.png"/><Relationship Id="rId15" Type="http://schemas.openxmlformats.org/officeDocument/2006/relationships/image" Target="../media/image24.png"/><Relationship Id="rId10" Type="http://schemas.openxmlformats.org/officeDocument/2006/relationships/image" Target="../media/image19.svg"/><Relationship Id="rId4" Type="http://schemas.openxmlformats.org/officeDocument/2006/relationships/image" Target="../media/image13.svg"/><Relationship Id="rId9" Type="http://schemas.openxmlformats.org/officeDocument/2006/relationships/image" Target="../media/image18.png"/><Relationship Id="rId14" Type="http://schemas.openxmlformats.org/officeDocument/2006/relationships/image" Target="../media/image23.sv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257908</xdr:colOff>
      <xdr:row>0</xdr:row>
      <xdr:rowOff>175844</xdr:rowOff>
    </xdr:from>
    <xdr:to>
      <xdr:col>17</xdr:col>
      <xdr:colOff>550984</xdr:colOff>
      <xdr:row>27</xdr:row>
      <xdr:rowOff>52751</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
          <a:duotone>
            <a:prstClr val="black"/>
            <a:schemeClr val="accent2">
              <a:tint val="45000"/>
              <a:satMod val="400000"/>
            </a:schemeClr>
          </a:duotone>
          <a:alphaModFix amt="27000"/>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6072554" y="175844"/>
          <a:ext cx="6131169" cy="6131169"/>
        </a:xfrm>
        <a:prstGeom prst="rect">
          <a:avLst/>
        </a:prstGeom>
        <a:noFill/>
        <a:ln>
          <a:noFill/>
        </a:ln>
        <a:effectLst>
          <a:glow rad="127000">
            <a:schemeClr val="accent2">
              <a:alpha val="2000"/>
            </a:schemeClr>
          </a:glow>
          <a:softEdge rad="38100"/>
        </a:effectLst>
      </xdr:spPr>
    </xdr:pic>
    <xdr:clientData/>
  </xdr:twoCellAnchor>
  <xdr:twoCellAnchor editAs="oneCell">
    <xdr:from>
      <xdr:col>17</xdr:col>
      <xdr:colOff>111365</xdr:colOff>
      <xdr:row>21</xdr:row>
      <xdr:rowOff>4</xdr:rowOff>
    </xdr:from>
    <xdr:to>
      <xdr:col>18</xdr:col>
      <xdr:colOff>386858</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381002</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375138</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392723</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378598</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376196</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379661</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374861</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6095723" y="4923418"/>
          <a:ext cx="914400" cy="91440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zoomScale="170" zoomScaleNormal="170" workbookViewId="0">
      <selection activeCell="D3" sqref="D3"/>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693</v>
      </c>
    </row>
    <row r="3" spans="1:12" x14ac:dyDescent="0.3">
      <c r="A3" s="147" t="s">
        <v>0</v>
      </c>
      <c r="B3" s="49" t="s">
        <v>687</v>
      </c>
      <c r="E3" s="147" t="s">
        <v>2</v>
      </c>
      <c r="F3" s="143" t="s">
        <v>681</v>
      </c>
      <c r="H3" s="71" t="s">
        <v>682</v>
      </c>
      <c r="K3" s="49"/>
    </row>
    <row r="4" spans="1:12" x14ac:dyDescent="0.3">
      <c r="A4" s="147" t="s">
        <v>204</v>
      </c>
      <c r="B4" s="49" t="s">
        <v>436</v>
      </c>
      <c r="H4" s="207" t="s">
        <v>683</v>
      </c>
    </row>
    <row r="5" spans="1:12" x14ac:dyDescent="0.3">
      <c r="A5" s="147" t="s">
        <v>4</v>
      </c>
      <c r="B5" s="143" t="s">
        <v>680</v>
      </c>
      <c r="E5" s="190" t="s">
        <v>3</v>
      </c>
      <c r="F5" s="131" t="s">
        <v>684</v>
      </c>
      <c r="G5" s="77"/>
      <c r="H5" s="132" t="s">
        <v>685</v>
      </c>
      <c r="I5" s="77"/>
      <c r="J5" s="77"/>
      <c r="K5" s="123"/>
      <c r="L5" s="77"/>
    </row>
    <row r="6" spans="1:12" x14ac:dyDescent="0.3">
      <c r="A6" s="147" t="s">
        <v>69</v>
      </c>
      <c r="B6" s="49" t="s">
        <v>126</v>
      </c>
      <c r="H6" s="47" t="s">
        <v>686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t="s">
        <v>652</v>
      </c>
      <c r="H10" s="154">
        <v>3</v>
      </c>
      <c r="I10" s="156" t="s">
        <v>13</v>
      </c>
      <c r="J10" s="72"/>
      <c r="L10" s="154">
        <v>2</v>
      </c>
    </row>
    <row r="11" spans="1:12" x14ac:dyDescent="0.3">
      <c r="A11" s="156" t="s">
        <v>14</v>
      </c>
      <c r="B11" s="72"/>
      <c r="D11" s="154">
        <v>2</v>
      </c>
      <c r="E11" s="156" t="s">
        <v>16</v>
      </c>
      <c r="F11" s="72" t="s">
        <v>653</v>
      </c>
      <c r="H11" s="154">
        <v>4</v>
      </c>
      <c r="I11" s="156" t="s">
        <v>18</v>
      </c>
      <c r="J11" s="72"/>
      <c r="L11" s="154">
        <v>2</v>
      </c>
    </row>
    <row r="12" spans="1:12" x14ac:dyDescent="0.3">
      <c r="A12" s="156" t="s">
        <v>15</v>
      </c>
      <c r="B12" s="72"/>
      <c r="D12" s="154">
        <v>3</v>
      </c>
      <c r="E12" s="156" t="s">
        <v>17</v>
      </c>
      <c r="F12" s="72"/>
      <c r="H12" s="154">
        <v>3</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2</v>
      </c>
      <c r="E16" s="145" t="s">
        <v>299</v>
      </c>
      <c r="F16" s="72"/>
      <c r="G16" s="46"/>
      <c r="H16" s="154">
        <v>0</v>
      </c>
      <c r="I16" s="145" t="s">
        <v>31</v>
      </c>
      <c r="J16" s="103"/>
      <c r="L16" s="154">
        <v>0</v>
      </c>
    </row>
    <row r="17" spans="1:12" x14ac:dyDescent="0.3">
      <c r="A17" s="145" t="s">
        <v>32</v>
      </c>
      <c r="B17" s="72"/>
      <c r="D17" s="154">
        <v>3</v>
      </c>
      <c r="E17" s="145" t="s">
        <v>33</v>
      </c>
      <c r="F17" s="72"/>
      <c r="G17" s="46"/>
      <c r="H17" s="154">
        <v>2</v>
      </c>
      <c r="I17" s="145" t="s">
        <v>34</v>
      </c>
      <c r="J17" s="72"/>
      <c r="L17" s="154">
        <v>1</v>
      </c>
    </row>
    <row r="18" spans="1:12" x14ac:dyDescent="0.3">
      <c r="A18" s="145" t="s">
        <v>297</v>
      </c>
      <c r="B18" s="72"/>
      <c r="D18" s="154">
        <v>4</v>
      </c>
      <c r="E18" s="145" t="s">
        <v>298</v>
      </c>
      <c r="F18" s="72"/>
      <c r="G18" s="46"/>
      <c r="H18" s="154">
        <v>0</v>
      </c>
      <c r="I18" s="145" t="s">
        <v>36</v>
      </c>
      <c r="J18" s="72"/>
      <c r="L18" s="154">
        <v>0</v>
      </c>
    </row>
    <row r="19" spans="1:12" x14ac:dyDescent="0.3">
      <c r="A19" s="145" t="s">
        <v>26</v>
      </c>
      <c r="B19" s="72"/>
      <c r="D19" s="154">
        <v>2</v>
      </c>
      <c r="E19" s="145" t="s">
        <v>38</v>
      </c>
      <c r="F19" s="72"/>
      <c r="G19" s="46"/>
      <c r="H19" s="154">
        <v>1</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0</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2</v>
      </c>
    </row>
    <row r="23" spans="1:12" x14ac:dyDescent="0.3">
      <c r="A23" s="145" t="s">
        <v>407</v>
      </c>
      <c r="B23" s="72"/>
      <c r="D23" s="154">
        <v>1</v>
      </c>
      <c r="E23" s="145" t="s">
        <v>42</v>
      </c>
      <c r="F23" s="72"/>
      <c r="G23" s="46"/>
      <c r="H23" s="154">
        <v>0</v>
      </c>
      <c r="I23" s="145" t="s">
        <v>49</v>
      </c>
      <c r="J23" s="72"/>
      <c r="L23" s="154">
        <v>2</v>
      </c>
    </row>
    <row r="24" spans="1:12" x14ac:dyDescent="0.3">
      <c r="A24" s="145" t="s">
        <v>219</v>
      </c>
      <c r="B24" s="72"/>
      <c r="D24" s="154">
        <v>1</v>
      </c>
      <c r="E24" s="145" t="s">
        <v>43</v>
      </c>
      <c r="F24" s="72"/>
      <c r="G24" s="46"/>
      <c r="H24" s="154">
        <v>0</v>
      </c>
      <c r="I24" s="145" t="s">
        <v>50</v>
      </c>
      <c r="J24" s="72"/>
      <c r="L24" s="154">
        <v>0</v>
      </c>
    </row>
    <row r="25" spans="1:12" x14ac:dyDescent="0.3">
      <c r="A25" s="145" t="s">
        <v>29</v>
      </c>
      <c r="B25" s="72"/>
      <c r="D25" s="154">
        <v>2</v>
      </c>
      <c r="E25" s="145" t="s">
        <v>44</v>
      </c>
      <c r="F25" s="72"/>
      <c r="G25" s="46"/>
      <c r="H25" s="154">
        <v>0</v>
      </c>
      <c r="I25" s="145" t="s">
        <v>51</v>
      </c>
      <c r="J25" s="72" t="s">
        <v>688</v>
      </c>
      <c r="L25" s="154">
        <v>4</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689</v>
      </c>
      <c r="B32" s="46">
        <v>1</v>
      </c>
      <c r="C32" s="72" t="s">
        <v>690</v>
      </c>
      <c r="H32" s="55" t="s">
        <v>70</v>
      </c>
      <c r="J32" s="158" t="s">
        <v>131</v>
      </c>
      <c r="L32" s="46"/>
    </row>
    <row r="33" spans="1:12" x14ac:dyDescent="0.3">
      <c r="C33" s="72" t="s">
        <v>691</v>
      </c>
      <c r="H33" s="55" t="s">
        <v>66</v>
      </c>
      <c r="J33" s="158">
        <v>6</v>
      </c>
      <c r="K33" s="153" t="s">
        <v>325</v>
      </c>
      <c r="L33" s="46"/>
    </row>
    <row r="34" spans="1:12" x14ac:dyDescent="0.3">
      <c r="A34" s="49" t="s">
        <v>689</v>
      </c>
      <c r="B34" s="46">
        <v>2</v>
      </c>
      <c r="C34" s="72" t="s">
        <v>692</v>
      </c>
      <c r="L34" s="195" t="s">
        <v>332</v>
      </c>
    </row>
    <row r="35" spans="1:12" x14ac:dyDescent="0.3">
      <c r="C35" s="72" t="s">
        <v>694</v>
      </c>
      <c r="H35" s="55" t="s">
        <v>20</v>
      </c>
      <c r="J35" s="158">
        <v>4</v>
      </c>
      <c r="K35" s="153" t="s">
        <v>339</v>
      </c>
      <c r="L35" s="46"/>
    </row>
    <row r="36" spans="1:12" x14ac:dyDescent="0.3">
      <c r="A36" s="53"/>
      <c r="B36" s="53"/>
      <c r="C36" s="53"/>
      <c r="D36" s="53"/>
      <c r="E36" s="53"/>
      <c r="F36" s="53"/>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95</v>
      </c>
      <c r="C52" s="46">
        <v>1</v>
      </c>
      <c r="D52" s="72" t="s">
        <v>695</v>
      </c>
    </row>
    <row r="53" spans="1:12" x14ac:dyDescent="0.3">
      <c r="A53" s="156" t="s">
        <v>97</v>
      </c>
      <c r="C53" s="46">
        <v>3</v>
      </c>
      <c r="D53" s="72" t="s">
        <v>429</v>
      </c>
    </row>
    <row r="54" spans="1:12" x14ac:dyDescent="0.3">
      <c r="A54" s="156" t="s">
        <v>98</v>
      </c>
      <c r="C54" s="46">
        <v>1</v>
      </c>
      <c r="D54" s="72" t="s">
        <v>700</v>
      </c>
      <c r="E54" s="146"/>
    </row>
    <row r="55" spans="1:12" x14ac:dyDescent="0.3">
      <c r="A55" s="156" t="s">
        <v>314</v>
      </c>
      <c r="C55" s="46">
        <v>1</v>
      </c>
      <c r="D55" s="72" t="s">
        <v>701</v>
      </c>
      <c r="E55" s="146"/>
    </row>
    <row r="56" spans="1:12" x14ac:dyDescent="0.3">
      <c r="A56" s="156" t="s">
        <v>102</v>
      </c>
      <c r="C56" s="46">
        <v>2</v>
      </c>
      <c r="D56" s="72" t="s">
        <v>573</v>
      </c>
      <c r="E56" s="146"/>
    </row>
    <row r="57" spans="1:12" x14ac:dyDescent="0.3">
      <c r="A57" s="53"/>
      <c r="B57" s="53"/>
      <c r="C57" s="53"/>
      <c r="D57" s="73"/>
      <c r="E57" s="198"/>
      <c r="F57" s="53"/>
      <c r="G57" s="53"/>
      <c r="H57" s="53"/>
      <c r="I57" s="53"/>
      <c r="J57" s="53"/>
      <c r="K57" s="70"/>
      <c r="L57" s="53"/>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704</v>
      </c>
      <c r="C63" s="46">
        <v>1</v>
      </c>
      <c r="D63" s="72" t="s">
        <v>705</v>
      </c>
    </row>
    <row r="64" spans="1:12" x14ac:dyDescent="0.3">
      <c r="A64" s="156" t="s">
        <v>702</v>
      </c>
      <c r="C64" s="46">
        <v>1</v>
      </c>
      <c r="D64" s="72" t="s">
        <v>703</v>
      </c>
    </row>
    <row r="65" spans="1:12" x14ac:dyDescent="0.3">
      <c r="A65" s="146" t="s">
        <v>706</v>
      </c>
      <c r="C65" s="46">
        <v>-3</v>
      </c>
      <c r="D65" s="72" t="s">
        <v>707</v>
      </c>
    </row>
    <row r="66" spans="1:12" x14ac:dyDescent="0.3">
      <c r="A66" s="156" t="s">
        <v>708</v>
      </c>
      <c r="C66" s="46">
        <v>-1</v>
      </c>
      <c r="D66" s="72" t="s">
        <v>709</v>
      </c>
    </row>
    <row r="67" spans="1:12" x14ac:dyDescent="0.3">
      <c r="A67" s="208"/>
      <c r="B67" s="53"/>
      <c r="C67" s="70"/>
      <c r="D67" s="73"/>
      <c r="E67" s="53"/>
      <c r="F67" s="53"/>
      <c r="G67" s="53"/>
      <c r="H67" s="53"/>
      <c r="I67" s="53"/>
      <c r="J67" s="53"/>
      <c r="K67" s="70"/>
      <c r="L67" s="53"/>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711</v>
      </c>
    </row>
    <row r="74" spans="1:12" x14ac:dyDescent="0.3">
      <c r="A74" s="49" t="s">
        <v>106</v>
      </c>
      <c r="C74" s="55" t="s">
        <v>712</v>
      </c>
    </row>
    <row r="75" spans="1:12" x14ac:dyDescent="0.3">
      <c r="A75" s="49" t="s">
        <v>98</v>
      </c>
      <c r="C75" s="55" t="s">
        <v>713</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715</v>
      </c>
      <c r="E79" s="49" t="s">
        <v>714</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718</v>
      </c>
      <c r="I84" s="49" t="s">
        <v>0</v>
      </c>
      <c r="K84" s="49" t="s">
        <v>87</v>
      </c>
    </row>
    <row r="85" spans="1:12" x14ac:dyDescent="0.3">
      <c r="A85" s="72" t="s">
        <v>112</v>
      </c>
      <c r="B85" s="58"/>
      <c r="C85" s="191">
        <v>0</v>
      </c>
      <c r="E85" s="72" t="s">
        <v>119</v>
      </c>
      <c r="F85" s="58"/>
      <c r="G85" s="191" t="s">
        <v>719</v>
      </c>
      <c r="I85" s="58"/>
      <c r="J85" s="58"/>
      <c r="K85" s="58"/>
      <c r="L85" s="61"/>
    </row>
    <row r="86" spans="1:12" x14ac:dyDescent="0.3">
      <c r="A86" s="72" t="s">
        <v>114</v>
      </c>
      <c r="C86" s="199">
        <v>30139</v>
      </c>
      <c r="E86" s="72" t="s">
        <v>120</v>
      </c>
      <c r="G86" s="192" t="s">
        <v>720</v>
      </c>
      <c r="I86" s="77"/>
      <c r="J86" s="77"/>
      <c r="K86" s="77"/>
      <c r="L86" s="123"/>
    </row>
    <row r="87" spans="1:12" x14ac:dyDescent="0.3">
      <c r="A87" s="72" t="s">
        <v>115</v>
      </c>
      <c r="B87" s="58"/>
      <c r="C87" s="193">
        <v>45943</v>
      </c>
      <c r="E87" s="72" t="s">
        <v>121</v>
      </c>
      <c r="F87" s="58"/>
      <c r="G87" s="191" t="s">
        <v>721</v>
      </c>
      <c r="I87" s="58"/>
      <c r="J87" s="58"/>
      <c r="K87" s="58"/>
      <c r="L87" s="61"/>
    </row>
    <row r="88" spans="1:12" x14ac:dyDescent="0.3">
      <c r="A88" s="72" t="s">
        <v>116</v>
      </c>
      <c r="C88" s="192" t="s">
        <v>716</v>
      </c>
      <c r="E88" s="72" t="s">
        <v>122</v>
      </c>
      <c r="G88" s="192" t="s">
        <v>255</v>
      </c>
      <c r="K88" s="49"/>
      <c r="L88" s="46"/>
    </row>
    <row r="89" spans="1:12" x14ac:dyDescent="0.3">
      <c r="A89" s="72" t="s">
        <v>117</v>
      </c>
      <c r="B89" s="58"/>
      <c r="C89" s="191" t="s">
        <v>717</v>
      </c>
      <c r="E89" s="72"/>
      <c r="F89" s="58"/>
      <c r="G89" s="191"/>
      <c r="I89" s="58"/>
      <c r="J89" s="58"/>
      <c r="K89" s="58"/>
      <c r="L89" s="61"/>
    </row>
    <row r="90" spans="1:12" x14ac:dyDescent="0.3">
      <c r="I90" s="53"/>
      <c r="J90" s="53"/>
      <c r="K90" s="53"/>
      <c r="L90" s="70"/>
    </row>
    <row r="92" spans="1:12" x14ac:dyDescent="0.3">
      <c r="A92" s="82" t="s">
        <v>466</v>
      </c>
    </row>
    <row r="93" spans="1:12" x14ac:dyDescent="0.3">
      <c r="A93" s="210" t="s">
        <v>722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723</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724</v>
      </c>
      <c r="C104" s="158" t="s">
        <v>131</v>
      </c>
      <c r="D104" s="206" t="s">
        <v>524</v>
      </c>
      <c r="E104" s="72" t="s">
        <v>725</v>
      </c>
    </row>
    <row r="105" spans="1:12" x14ac:dyDescent="0.3">
      <c r="A105" s="72" t="s">
        <v>726</v>
      </c>
      <c r="C105" s="158" t="s">
        <v>131</v>
      </c>
      <c r="D105" s="206" t="s">
        <v>467</v>
      </c>
      <c r="E105" s="201" t="s">
        <v>727</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H111" s="72" t="s">
        <v>83</v>
      </c>
      <c r="J111" s="67" t="s">
        <v>86</v>
      </c>
      <c r="K111" s="67" t="s">
        <v>85</v>
      </c>
      <c r="L111" s="67" t="s">
        <v>84</v>
      </c>
    </row>
    <row r="112" spans="1:12" x14ac:dyDescent="0.3">
      <c r="A112" s="72" t="s">
        <v>729</v>
      </c>
      <c r="B112" s="72" t="s">
        <v>728</v>
      </c>
      <c r="C112" s="72" t="s">
        <v>730</v>
      </c>
      <c r="D112" s="72"/>
      <c r="E112" s="72"/>
      <c r="H112" s="209"/>
      <c r="I112" s="73"/>
      <c r="J112" s="67" t="s">
        <v>282</v>
      </c>
      <c r="K112" s="67" t="s">
        <v>731</v>
      </c>
      <c r="L112" s="67" t="s">
        <v>732</v>
      </c>
    </row>
    <row r="113" spans="1:12" x14ac:dyDescent="0.3">
      <c r="A113" s="73"/>
      <c r="B113" s="73"/>
      <c r="C113" s="73"/>
      <c r="D113" s="73"/>
      <c r="E113" s="73"/>
      <c r="F113" s="73"/>
      <c r="G113" s="73"/>
      <c r="H113" s="73"/>
      <c r="I113" s="73"/>
      <c r="J113" s="73"/>
      <c r="K113" s="137"/>
      <c r="L113" s="73"/>
    </row>
    <row r="114" spans="1:12" x14ac:dyDescent="0.3">
      <c r="A114" s="72"/>
      <c r="B114" s="72"/>
      <c r="C114" s="72"/>
      <c r="D114" s="72"/>
      <c r="E114" s="72"/>
      <c r="F114" s="72"/>
      <c r="G114" s="72"/>
      <c r="H114" s="72"/>
      <c r="I114" s="72"/>
      <c r="J114" s="72"/>
      <c r="K114" s="67"/>
      <c r="L114" s="72"/>
    </row>
    <row r="115" spans="1:12" x14ac:dyDescent="0.3">
      <c r="A115" s="74"/>
      <c r="B115" s="74"/>
      <c r="C115" s="74"/>
      <c r="D115" s="74"/>
      <c r="E115" s="74"/>
      <c r="F115" s="74"/>
      <c r="G115" s="74"/>
      <c r="H115" s="74"/>
      <c r="I115" s="74"/>
      <c r="J115" s="74"/>
      <c r="K115" s="139"/>
      <c r="L115" s="74"/>
    </row>
    <row r="116" spans="1:12" x14ac:dyDescent="0.3">
      <c r="A116" s="72"/>
      <c r="B116" s="72"/>
      <c r="C116" s="72"/>
      <c r="D116" s="72"/>
      <c r="E116" s="72"/>
      <c r="F116" s="72"/>
      <c r="G116" s="72"/>
      <c r="H116" s="72"/>
      <c r="I116" s="72"/>
      <c r="J116" s="72"/>
      <c r="K116" s="67"/>
      <c r="L116" s="72"/>
    </row>
    <row r="117" spans="1:12" x14ac:dyDescent="0.3">
      <c r="A117" s="74"/>
      <c r="B117" s="74"/>
      <c r="C117" s="74"/>
      <c r="D117" s="74"/>
      <c r="E117" s="74"/>
      <c r="F117" s="74"/>
      <c r="G117" s="74"/>
      <c r="H117" s="74"/>
      <c r="I117" s="74"/>
      <c r="J117" s="74"/>
      <c r="K117" s="139"/>
      <c r="L117" s="74"/>
    </row>
    <row r="118" spans="1:12" x14ac:dyDescent="0.3">
      <c r="A118" s="72"/>
      <c r="B118" s="72"/>
      <c r="C118" s="72"/>
      <c r="D118" s="72"/>
      <c r="E118" s="72"/>
      <c r="F118" s="72"/>
      <c r="G118" s="72"/>
      <c r="H118" s="72"/>
      <c r="I118" s="72"/>
      <c r="J118" s="72"/>
      <c r="K118" s="67"/>
      <c r="L118" s="72"/>
    </row>
    <row r="119" spans="1:12" x14ac:dyDescent="0.3">
      <c r="A119" s="74"/>
      <c r="B119" s="74"/>
      <c r="C119" s="74"/>
      <c r="D119" s="74"/>
      <c r="E119" s="74"/>
      <c r="F119" s="74"/>
      <c r="G119" s="74"/>
      <c r="H119" s="74"/>
      <c r="I119" s="74"/>
      <c r="J119" s="74"/>
      <c r="K119" s="139"/>
      <c r="L119" s="74"/>
    </row>
    <row r="120" spans="1:12" x14ac:dyDescent="0.3">
      <c r="A120" s="72"/>
      <c r="B120" s="72"/>
      <c r="C120" s="72"/>
      <c r="D120" s="72"/>
      <c r="E120" s="72"/>
      <c r="F120" s="72"/>
      <c r="G120" s="72"/>
      <c r="H120" s="72"/>
      <c r="I120" s="72"/>
      <c r="J120" s="72"/>
      <c r="K120" s="67"/>
      <c r="L120" s="72"/>
    </row>
    <row r="121" spans="1:12" x14ac:dyDescent="0.3">
      <c r="A121" s="74"/>
      <c r="B121" s="74"/>
      <c r="C121" s="74"/>
      <c r="D121" s="74"/>
      <c r="E121" s="74"/>
      <c r="F121" s="74"/>
      <c r="G121" s="74"/>
      <c r="H121" s="74"/>
      <c r="I121" s="74"/>
      <c r="J121" s="74"/>
      <c r="K121" s="139"/>
      <c r="L121" s="74"/>
    </row>
    <row r="123" spans="1:12" x14ac:dyDescent="0.3">
      <c r="F123" s="64" t="s">
        <v>527</v>
      </c>
    </row>
    <row r="124" spans="1:12" x14ac:dyDescent="0.3">
      <c r="A124" s="55" t="s">
        <v>696</v>
      </c>
      <c r="B124" s="55"/>
      <c r="C124" s="146" t="s">
        <v>621</v>
      </c>
      <c r="D124" s="55" t="s">
        <v>697</v>
      </c>
    </row>
    <row r="125" spans="1:12" x14ac:dyDescent="0.3">
      <c r="A125" s="55" t="s">
        <v>698</v>
      </c>
      <c r="B125" s="55"/>
      <c r="C125" s="146" t="s">
        <v>452</v>
      </c>
      <c r="D125" s="72" t="s">
        <v>699</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&amp;CEnrico “Bus” Chiti&amp;R&amp;P/&amp;N</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zoomScale="170" zoomScaleNormal="170" workbookViewId="0">
      <selection activeCell="G9" sqref="G9"/>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646</v>
      </c>
    </row>
    <row r="3" spans="1:12" x14ac:dyDescent="0.3">
      <c r="A3" s="147" t="s">
        <v>0</v>
      </c>
      <c r="B3" s="49" t="s">
        <v>651</v>
      </c>
      <c r="E3" s="147" t="s">
        <v>2</v>
      </c>
      <c r="F3" s="143" t="s">
        <v>644</v>
      </c>
      <c r="H3" s="47" t="s">
        <v>650</v>
      </c>
      <c r="K3" s="49"/>
    </row>
    <row r="4" spans="1:12" x14ac:dyDescent="0.3">
      <c r="A4" s="147" t="s">
        <v>204</v>
      </c>
      <c r="B4" s="49" t="s">
        <v>436</v>
      </c>
      <c r="H4" s="204" t="s">
        <v>649</v>
      </c>
    </row>
    <row r="5" spans="1:12" x14ac:dyDescent="0.3">
      <c r="A5" s="147" t="s">
        <v>4</v>
      </c>
      <c r="B5" s="143" t="s">
        <v>208</v>
      </c>
      <c r="E5" s="190" t="s">
        <v>3</v>
      </c>
      <c r="F5" s="131" t="s">
        <v>645</v>
      </c>
      <c r="G5" s="77"/>
      <c r="H5" s="132" t="s">
        <v>648</v>
      </c>
      <c r="I5" s="77"/>
      <c r="J5" s="77"/>
      <c r="K5" s="123"/>
      <c r="L5" s="77"/>
    </row>
    <row r="6" spans="1:12" x14ac:dyDescent="0.3">
      <c r="A6" s="147" t="s">
        <v>69</v>
      </c>
      <c r="B6" s="49" t="s">
        <v>126</v>
      </c>
      <c r="H6" s="47" t="s">
        <v>647</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652</v>
      </c>
      <c r="H10" s="154">
        <v>4</v>
      </c>
      <c r="I10" s="156" t="s">
        <v>13</v>
      </c>
      <c r="J10" s="72"/>
      <c r="L10" s="154">
        <v>2</v>
      </c>
    </row>
    <row r="11" spans="1:12" x14ac:dyDescent="0.3">
      <c r="A11" s="156" t="s">
        <v>14</v>
      </c>
      <c r="B11" s="72"/>
      <c r="D11" s="154">
        <v>2</v>
      </c>
      <c r="E11" s="156" t="s">
        <v>16</v>
      </c>
      <c r="F11" s="72" t="s">
        <v>653</v>
      </c>
      <c r="H11" s="154">
        <v>4</v>
      </c>
      <c r="I11" s="156" t="s">
        <v>18</v>
      </c>
      <c r="J11" s="72"/>
      <c r="L11" s="154">
        <v>3</v>
      </c>
    </row>
    <row r="12" spans="1:12" x14ac:dyDescent="0.3">
      <c r="A12" s="156" t="s">
        <v>15</v>
      </c>
      <c r="B12" s="72"/>
      <c r="D12" s="154">
        <v>2</v>
      </c>
      <c r="E12" s="156" t="s">
        <v>17</v>
      </c>
      <c r="F12" s="72"/>
      <c r="H12" s="154">
        <v>2</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0</v>
      </c>
      <c r="I16" s="145" t="s">
        <v>31</v>
      </c>
      <c r="J16" s="103" t="s">
        <v>660</v>
      </c>
      <c r="L16" s="154">
        <v>3</v>
      </c>
    </row>
    <row r="17" spans="1:12" x14ac:dyDescent="0.3">
      <c r="A17" s="145" t="s">
        <v>32</v>
      </c>
      <c r="B17" s="72"/>
      <c r="D17" s="154">
        <v>2</v>
      </c>
      <c r="E17" s="145" t="s">
        <v>33</v>
      </c>
      <c r="F17" s="72"/>
      <c r="G17" s="46"/>
      <c r="H17" s="154">
        <v>0</v>
      </c>
      <c r="I17" s="145" t="s">
        <v>34</v>
      </c>
      <c r="J17" s="72"/>
      <c r="L17" s="154">
        <v>3</v>
      </c>
    </row>
    <row r="18" spans="1:12" x14ac:dyDescent="0.3">
      <c r="A18" s="145" t="s">
        <v>297</v>
      </c>
      <c r="B18" s="72"/>
      <c r="D18" s="154">
        <v>2</v>
      </c>
      <c r="E18" s="145" t="s">
        <v>298</v>
      </c>
      <c r="F18" s="72"/>
      <c r="G18" s="46"/>
      <c r="H18" s="154">
        <v>3</v>
      </c>
      <c r="I18" s="145" t="s">
        <v>36</v>
      </c>
      <c r="J18" s="72"/>
      <c r="L18" s="154">
        <v>0</v>
      </c>
    </row>
    <row r="19" spans="1:12" x14ac:dyDescent="0.3">
      <c r="A19" s="145" t="s">
        <v>26</v>
      </c>
      <c r="B19" s="72"/>
      <c r="D19" s="154">
        <v>3</v>
      </c>
      <c r="E19" s="145" t="s">
        <v>38</v>
      </c>
      <c r="F19" s="72"/>
      <c r="G19" s="46"/>
      <c r="H19" s="154">
        <v>0</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2</v>
      </c>
      <c r="E22" s="145" t="s">
        <v>41</v>
      </c>
      <c r="F22" s="72" t="s">
        <v>656</v>
      </c>
      <c r="G22" s="46"/>
      <c r="H22" s="154">
        <v>1</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1</v>
      </c>
      <c r="E24" s="145" t="s">
        <v>43</v>
      </c>
      <c r="F24" s="72"/>
      <c r="G24" s="46"/>
      <c r="H24" s="154">
        <v>0</v>
      </c>
      <c r="I24" s="145" t="s">
        <v>50</v>
      </c>
      <c r="J24" s="72"/>
      <c r="L24" s="154">
        <v>1</v>
      </c>
    </row>
    <row r="25" spans="1:12" x14ac:dyDescent="0.3">
      <c r="A25" s="145" t="s">
        <v>29</v>
      </c>
      <c r="B25" s="72" t="s">
        <v>661</v>
      </c>
      <c r="D25" s="154">
        <v>4</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4</v>
      </c>
      <c r="K29" s="153" t="s">
        <v>326</v>
      </c>
      <c r="L29" s="46"/>
    </row>
    <row r="30" spans="1:12" s="65" customFormat="1" x14ac:dyDescent="0.3">
      <c r="A30" s="49" t="s">
        <v>657</v>
      </c>
      <c r="B30" s="46">
        <v>1</v>
      </c>
      <c r="C30" s="72" t="s">
        <v>659</v>
      </c>
      <c r="D30" s="49"/>
      <c r="E30" s="49"/>
      <c r="F30" s="49"/>
      <c r="G30" s="49"/>
      <c r="H30" s="157" t="s">
        <v>203</v>
      </c>
      <c r="I30" s="49"/>
      <c r="J30" s="158">
        <v>3</v>
      </c>
      <c r="K30" s="47" t="s">
        <v>338</v>
      </c>
      <c r="L30" s="46"/>
    </row>
    <row r="31" spans="1:12" x14ac:dyDescent="0.3">
      <c r="B31" s="46"/>
      <c r="C31" s="72" t="s">
        <v>658</v>
      </c>
      <c r="H31" s="157" t="s">
        <v>59</v>
      </c>
      <c r="J31" s="158">
        <v>3</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7</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102</v>
      </c>
      <c r="C52" s="46">
        <v>2</v>
      </c>
      <c r="D52" s="72" t="s">
        <v>573</v>
      </c>
    </row>
    <row r="53" spans="1:12" x14ac:dyDescent="0.3">
      <c r="A53" s="156" t="s">
        <v>97</v>
      </c>
      <c r="C53" s="46">
        <v>2</v>
      </c>
      <c r="D53" s="72" t="s">
        <v>429</v>
      </c>
    </row>
    <row r="54" spans="1:12" x14ac:dyDescent="0.3">
      <c r="A54" s="156" t="s">
        <v>98</v>
      </c>
      <c r="C54" s="46">
        <v>4</v>
      </c>
      <c r="D54" s="72" t="s">
        <v>662</v>
      </c>
      <c r="E54" s="146"/>
    </row>
    <row r="55" spans="1:12" x14ac:dyDescent="0.3">
      <c r="A55" s="156"/>
      <c r="C55" s="46"/>
      <c r="D55" s="72"/>
      <c r="E55" s="146"/>
    </row>
    <row r="56" spans="1:12" x14ac:dyDescent="0.3">
      <c r="A56" s="202"/>
      <c r="B56" s="58"/>
      <c r="C56" s="61"/>
      <c r="D56" s="74"/>
      <c r="E56" s="194"/>
      <c r="F56" s="58"/>
      <c r="G56" s="58"/>
      <c r="H56" s="58"/>
      <c r="I56" s="58"/>
      <c r="J56" s="58"/>
      <c r="K56" s="61"/>
      <c r="L56" s="58"/>
    </row>
    <row r="57" spans="1:12" x14ac:dyDescent="0.3">
      <c r="A57" s="58"/>
      <c r="B57" s="58"/>
      <c r="C57" s="58"/>
      <c r="D57" s="74"/>
      <c r="E57" s="194"/>
      <c r="F57" s="58"/>
      <c r="G57" s="58"/>
      <c r="H57" s="58"/>
      <c r="I57" s="58"/>
      <c r="J57" s="58"/>
      <c r="K57" s="61"/>
      <c r="L57" s="58"/>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663</v>
      </c>
      <c r="C63" s="46">
        <v>1</v>
      </c>
      <c r="D63" s="72" t="s">
        <v>664</v>
      </c>
    </row>
    <row r="64" spans="1:12" x14ac:dyDescent="0.3">
      <c r="A64" s="156" t="s">
        <v>416</v>
      </c>
      <c r="C64" s="46">
        <v>1</v>
      </c>
      <c r="D64" s="72" t="s">
        <v>529</v>
      </c>
    </row>
    <row r="65" spans="1:12" x14ac:dyDescent="0.3">
      <c r="A65" s="146" t="s">
        <v>665</v>
      </c>
      <c r="C65" s="46">
        <v>-2</v>
      </c>
      <c r="D65" s="72" t="s">
        <v>668</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673</v>
      </c>
    </row>
    <row r="74" spans="1:12" x14ac:dyDescent="0.3">
      <c r="A74" s="49" t="s">
        <v>106</v>
      </c>
      <c r="C74" s="55" t="s">
        <v>674</v>
      </c>
    </row>
    <row r="75" spans="1:12" x14ac:dyDescent="0.3">
      <c r="A75" s="49" t="s">
        <v>98</v>
      </c>
      <c r="C75" s="55" t="s">
        <v>710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675</v>
      </c>
      <c r="E79" s="49" t="s">
        <v>676</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677</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31120</v>
      </c>
      <c r="E86" s="72" t="s">
        <v>120</v>
      </c>
      <c r="G86" s="192" t="s">
        <v>678</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251</v>
      </c>
      <c r="E88" s="72" t="s">
        <v>122</v>
      </c>
      <c r="G88" s="192" t="s">
        <v>593</v>
      </c>
      <c r="K88" s="49"/>
      <c r="L88" s="46"/>
    </row>
    <row r="89" spans="1:12" x14ac:dyDescent="0.3">
      <c r="A89" s="72" t="s">
        <v>117</v>
      </c>
      <c r="B89" s="58"/>
      <c r="C89" s="191" t="s">
        <v>679</v>
      </c>
      <c r="E89" s="72"/>
      <c r="F89" s="58"/>
      <c r="G89" s="191"/>
      <c r="I89" s="58"/>
      <c r="J89" s="58"/>
      <c r="K89" s="58"/>
      <c r="L89" s="61"/>
    </row>
    <row r="90" spans="1:12" x14ac:dyDescent="0.3">
      <c r="I90" s="53"/>
      <c r="J90" s="53"/>
      <c r="K90" s="53"/>
      <c r="L90" s="70"/>
    </row>
    <row r="92" spans="1:12" x14ac:dyDescent="0.3">
      <c r="A92" s="82" t="s">
        <v>466</v>
      </c>
    </row>
    <row r="93" spans="1:12" x14ac:dyDescent="0.3">
      <c r="A93" s="210" t="s">
        <v>669</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670</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672</v>
      </c>
      <c r="C104" s="158" t="s">
        <v>131</v>
      </c>
      <c r="D104" s="206" t="s">
        <v>467</v>
      </c>
      <c r="E104" s="72" t="s">
        <v>671</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666</v>
      </c>
      <c r="B124" s="55"/>
      <c r="C124" s="146" t="s">
        <v>452</v>
      </c>
      <c r="D124" s="55" t="s">
        <v>667</v>
      </c>
    </row>
    <row r="125" spans="1:12" x14ac:dyDescent="0.3">
      <c r="B125" s="55"/>
      <c r="C125" s="146"/>
      <c r="D125" s="72"/>
    </row>
    <row r="126" spans="1:12" ht="13.8" customHeight="1" x14ac:dyDescent="0.3">
      <c r="A126" s="91"/>
      <c r="B126" s="91"/>
      <c r="C126" s="194"/>
      <c r="D126" s="91"/>
      <c r="E126" s="58"/>
      <c r="F126" s="58"/>
      <c r="G126" s="58"/>
      <c r="H126" s="58"/>
      <c r="I126" s="58"/>
      <c r="J126" s="58"/>
      <c r="K126" s="61"/>
      <c r="L126" s="58"/>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&amp;CIrenre Gori&amp;R&amp;P/&amp;N</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zoomScale="170" zoomScaleNormal="170" workbookViewId="0">
      <selection activeCell="F9" sqref="F9"/>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203" t="s">
        <v>601</v>
      </c>
    </row>
    <row r="3" spans="1:12" x14ac:dyDescent="0.3">
      <c r="A3" s="147" t="s">
        <v>0</v>
      </c>
      <c r="B3" s="49" t="s">
        <v>602</v>
      </c>
      <c r="E3" s="147" t="s">
        <v>2</v>
      </c>
      <c r="F3" s="143" t="s">
        <v>603</v>
      </c>
      <c r="H3" s="47" t="s">
        <v>604</v>
      </c>
      <c r="K3" s="49"/>
    </row>
    <row r="4" spans="1:12" x14ac:dyDescent="0.3">
      <c r="A4" s="147" t="s">
        <v>204</v>
      </c>
      <c r="B4" s="49" t="s">
        <v>436</v>
      </c>
      <c r="H4" s="204" t="s">
        <v>606</v>
      </c>
    </row>
    <row r="5" spans="1:12" x14ac:dyDescent="0.3">
      <c r="A5" s="147" t="s">
        <v>4</v>
      </c>
      <c r="B5" s="143" t="s">
        <v>248</v>
      </c>
      <c r="E5" s="190" t="s">
        <v>3</v>
      </c>
      <c r="F5" s="131" t="s">
        <v>364</v>
      </c>
      <c r="G5" s="77"/>
      <c r="H5" s="132" t="s">
        <v>654</v>
      </c>
      <c r="I5" s="77"/>
      <c r="J5" s="77"/>
      <c r="K5" s="123"/>
      <c r="L5" s="77"/>
    </row>
    <row r="6" spans="1:12" x14ac:dyDescent="0.3">
      <c r="A6" s="147" t="s">
        <v>69</v>
      </c>
      <c r="B6" s="49" t="s">
        <v>126</v>
      </c>
      <c r="H6" s="47" t="s">
        <v>655</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605</v>
      </c>
      <c r="H10" s="154">
        <v>4</v>
      </c>
      <c r="I10" s="156" t="s">
        <v>13</v>
      </c>
      <c r="J10" s="72" t="s">
        <v>559</v>
      </c>
      <c r="L10" s="154">
        <v>5</v>
      </c>
    </row>
    <row r="11" spans="1:12" x14ac:dyDescent="0.3">
      <c r="A11" s="156" t="s">
        <v>14</v>
      </c>
      <c r="B11" s="72"/>
      <c r="D11" s="154">
        <v>3</v>
      </c>
      <c r="E11" s="156" t="s">
        <v>16</v>
      </c>
      <c r="F11" s="72"/>
      <c r="H11" s="154">
        <v>3</v>
      </c>
      <c r="I11" s="156" t="s">
        <v>18</v>
      </c>
      <c r="J11" s="72"/>
      <c r="L11" s="154">
        <v>2</v>
      </c>
    </row>
    <row r="12" spans="1:12" x14ac:dyDescent="0.3">
      <c r="A12" s="156" t="s">
        <v>15</v>
      </c>
      <c r="B12" s="72"/>
      <c r="D12" s="154">
        <v>1</v>
      </c>
      <c r="E12" s="156" t="s">
        <v>17</v>
      </c>
      <c r="F12" s="72"/>
      <c r="H12" s="154">
        <v>3</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607</v>
      </c>
      <c r="L16" s="154">
        <v>1</v>
      </c>
    </row>
    <row r="17" spans="1:12" x14ac:dyDescent="0.3">
      <c r="A17" s="145" t="s">
        <v>32</v>
      </c>
      <c r="B17" s="72"/>
      <c r="D17" s="154">
        <v>2</v>
      </c>
      <c r="E17" s="145" t="s">
        <v>33</v>
      </c>
      <c r="F17" s="72"/>
      <c r="G17" s="46"/>
      <c r="H17" s="154">
        <v>0</v>
      </c>
      <c r="I17" s="145" t="s">
        <v>34</v>
      </c>
      <c r="J17" s="72"/>
      <c r="L17" s="154">
        <v>1</v>
      </c>
    </row>
    <row r="18" spans="1:12" x14ac:dyDescent="0.3">
      <c r="A18" s="145" t="s">
        <v>297</v>
      </c>
      <c r="B18" s="72"/>
      <c r="D18" s="154">
        <v>0</v>
      </c>
      <c r="E18" s="145" t="s">
        <v>298</v>
      </c>
      <c r="F18" s="72"/>
      <c r="G18" s="46"/>
      <c r="H18" s="154">
        <v>2</v>
      </c>
      <c r="I18" s="145" t="s">
        <v>36</v>
      </c>
      <c r="J18" s="72"/>
      <c r="L18" s="154">
        <v>0</v>
      </c>
    </row>
    <row r="19" spans="1:12" x14ac:dyDescent="0.3">
      <c r="A19" s="145" t="s">
        <v>26</v>
      </c>
      <c r="B19" s="72"/>
      <c r="D19" s="154">
        <v>2</v>
      </c>
      <c r="E19" s="145" t="s">
        <v>38</v>
      </c>
      <c r="F19" s="72"/>
      <c r="G19" s="46"/>
      <c r="H19" s="154">
        <v>2</v>
      </c>
      <c r="I19" s="145" t="s">
        <v>45</v>
      </c>
      <c r="J19" s="72"/>
      <c r="L19" s="154">
        <v>0</v>
      </c>
    </row>
    <row r="20" spans="1:12" x14ac:dyDescent="0.3">
      <c r="A20" s="145" t="s">
        <v>27</v>
      </c>
      <c r="B20" s="72" t="s">
        <v>609</v>
      </c>
      <c r="D20" s="154">
        <v>4</v>
      </c>
      <c r="E20" s="145" t="s">
        <v>39</v>
      </c>
      <c r="F20" s="72"/>
      <c r="G20" s="46"/>
      <c r="H20" s="154">
        <v>2</v>
      </c>
      <c r="I20" s="145" t="s">
        <v>46</v>
      </c>
      <c r="J20" s="103" t="s">
        <v>608</v>
      </c>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1</v>
      </c>
      <c r="E23" s="145" t="s">
        <v>42</v>
      </c>
      <c r="F23" s="72"/>
      <c r="G23" s="46"/>
      <c r="H23" s="154">
        <v>1</v>
      </c>
      <c r="I23" s="145" t="s">
        <v>49</v>
      </c>
      <c r="J23" s="72"/>
      <c r="L23" s="154">
        <v>0</v>
      </c>
    </row>
    <row r="24" spans="1:12" x14ac:dyDescent="0.3">
      <c r="A24" s="145" t="s">
        <v>219</v>
      </c>
      <c r="B24" s="72"/>
      <c r="D24" s="154">
        <v>3</v>
      </c>
      <c r="E24" s="145" t="s">
        <v>43</v>
      </c>
      <c r="F24" s="72"/>
      <c r="G24" s="46"/>
      <c r="H24" s="154">
        <v>0</v>
      </c>
      <c r="I24" s="145" t="s">
        <v>50</v>
      </c>
      <c r="J24" s="72"/>
      <c r="L24" s="154">
        <v>2</v>
      </c>
    </row>
    <row r="25" spans="1:12" x14ac:dyDescent="0.3">
      <c r="A25" s="145" t="s">
        <v>29</v>
      </c>
      <c r="B25" s="72"/>
      <c r="D25" s="154">
        <v>0</v>
      </c>
      <c r="E25" s="145" t="s">
        <v>44</v>
      </c>
      <c r="F25" s="72"/>
      <c r="G25" s="46"/>
      <c r="H25" s="154">
        <v>3</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189</v>
      </c>
      <c r="B32" s="46">
        <v>1</v>
      </c>
      <c r="C32" s="72" t="s">
        <v>301</v>
      </c>
      <c r="H32" s="55" t="s">
        <v>70</v>
      </c>
      <c r="J32" s="158" t="s">
        <v>131</v>
      </c>
      <c r="L32" s="46"/>
    </row>
    <row r="33" spans="1:12" x14ac:dyDescent="0.3">
      <c r="A33" s="49" t="s">
        <v>181</v>
      </c>
      <c r="B33" s="46">
        <v>1</v>
      </c>
      <c r="C33" s="72" t="s">
        <v>438</v>
      </c>
      <c r="H33" s="55" t="s">
        <v>66</v>
      </c>
      <c r="J33" s="158">
        <f>J29+J30</f>
        <v>6</v>
      </c>
      <c r="K33" s="153" t="s">
        <v>325</v>
      </c>
      <c r="L33" s="46"/>
    </row>
    <row r="34" spans="1:12" x14ac:dyDescent="0.3">
      <c r="A34" s="53"/>
      <c r="B34" s="53"/>
      <c r="C34" s="73"/>
      <c r="D34" s="53"/>
      <c r="E34" s="53"/>
      <c r="F34" s="53"/>
      <c r="L34" s="195" t="s">
        <v>332</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612</v>
      </c>
    </row>
    <row r="53" spans="1:12" x14ac:dyDescent="0.3">
      <c r="A53" s="156" t="s">
        <v>97</v>
      </c>
      <c r="C53" s="46">
        <v>2</v>
      </c>
      <c r="D53" s="72" t="s">
        <v>429</v>
      </c>
    </row>
    <row r="54" spans="1:12" x14ac:dyDescent="0.3">
      <c r="A54" s="156" t="s">
        <v>95</v>
      </c>
      <c r="C54" s="46">
        <v>3</v>
      </c>
      <c r="D54" s="72" t="s">
        <v>624</v>
      </c>
      <c r="E54" s="146"/>
    </row>
    <row r="55" spans="1:12" x14ac:dyDescent="0.3">
      <c r="A55" s="156" t="s">
        <v>5</v>
      </c>
      <c r="C55" s="46">
        <v>2</v>
      </c>
      <c r="D55" s="72" t="s">
        <v>613</v>
      </c>
      <c r="E55" s="146"/>
    </row>
    <row r="56" spans="1:12" x14ac:dyDescent="0.3">
      <c r="A56" s="156" t="s">
        <v>102</v>
      </c>
      <c r="C56" s="46">
        <v>4</v>
      </c>
      <c r="D56" s="72" t="s">
        <v>615</v>
      </c>
      <c r="E56" s="146"/>
    </row>
    <row r="57" spans="1:12" x14ac:dyDescent="0.3">
      <c r="A57" s="156" t="s">
        <v>98</v>
      </c>
      <c r="C57" s="46">
        <v>2</v>
      </c>
      <c r="D57" s="72" t="s">
        <v>614</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630</v>
      </c>
      <c r="C63" s="46">
        <v>-2</v>
      </c>
      <c r="D63" s="72" t="s">
        <v>632</v>
      </c>
    </row>
    <row r="64" spans="1:12" x14ac:dyDescent="0.3">
      <c r="A64" s="55"/>
      <c r="D64" s="72" t="s">
        <v>631</v>
      </c>
    </row>
    <row r="65" spans="1:12" x14ac:dyDescent="0.3">
      <c r="A65" s="156" t="s">
        <v>416</v>
      </c>
      <c r="C65" s="46">
        <v>1</v>
      </c>
      <c r="D65" s="72" t="s">
        <v>629</v>
      </c>
    </row>
    <row r="66" spans="1:12" x14ac:dyDescent="0.3">
      <c r="A66" s="208"/>
      <c r="B66" s="53"/>
      <c r="C66" s="70"/>
      <c r="D66" s="73"/>
      <c r="E66" s="53"/>
      <c r="F66" s="53"/>
      <c r="G66" s="53"/>
      <c r="H66" s="53"/>
      <c r="I66" s="53"/>
      <c r="J66" s="53"/>
      <c r="K66" s="70"/>
      <c r="L66" s="53"/>
    </row>
    <row r="67" spans="1:12" x14ac:dyDescent="0.3">
      <c r="A67" s="156"/>
      <c r="C67" s="46"/>
      <c r="D67" s="72"/>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637</v>
      </c>
    </row>
    <row r="74" spans="1:12" x14ac:dyDescent="0.3">
      <c r="A74" s="49" t="s">
        <v>106</v>
      </c>
      <c r="C74" s="55" t="s">
        <v>638</v>
      </c>
    </row>
    <row r="75" spans="1:12" x14ac:dyDescent="0.3">
      <c r="A75" s="49" t="s">
        <v>98</v>
      </c>
      <c r="C75" s="55" t="s">
        <v>639</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641</v>
      </c>
      <c r="E79" s="49" t="s">
        <v>640</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252</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26373</v>
      </c>
      <c r="E86" s="72" t="s">
        <v>120</v>
      </c>
      <c r="G86" s="192" t="s">
        <v>636</v>
      </c>
      <c r="I86" s="77"/>
      <c r="J86" s="77"/>
      <c r="K86" s="77"/>
      <c r="L86" s="123"/>
    </row>
    <row r="87" spans="1:12" x14ac:dyDescent="0.3">
      <c r="A87" s="72" t="s">
        <v>115</v>
      </c>
      <c r="B87" s="58"/>
      <c r="C87" s="193">
        <v>45943</v>
      </c>
      <c r="E87" s="72" t="s">
        <v>121</v>
      </c>
      <c r="F87" s="58"/>
      <c r="G87" s="191" t="s">
        <v>635</v>
      </c>
      <c r="I87" s="58"/>
      <c r="J87" s="58"/>
      <c r="K87" s="58"/>
      <c r="L87" s="61"/>
    </row>
    <row r="88" spans="1:12" x14ac:dyDescent="0.3">
      <c r="A88" s="72" t="s">
        <v>116</v>
      </c>
      <c r="C88" s="192" t="s">
        <v>633</v>
      </c>
      <c r="E88" s="72" t="s">
        <v>122</v>
      </c>
      <c r="G88" s="192" t="s">
        <v>593</v>
      </c>
      <c r="K88" s="49"/>
      <c r="L88" s="46"/>
    </row>
    <row r="89" spans="1:12" x14ac:dyDescent="0.3">
      <c r="A89" s="72" t="s">
        <v>117</v>
      </c>
      <c r="B89" s="58"/>
      <c r="C89" s="191" t="s">
        <v>634</v>
      </c>
      <c r="E89" s="72"/>
      <c r="F89" s="58"/>
      <c r="G89" s="191"/>
      <c r="I89" s="58"/>
      <c r="J89" s="58"/>
      <c r="K89" s="58"/>
      <c r="L89" s="61"/>
    </row>
    <row r="90" spans="1:12" x14ac:dyDescent="0.3">
      <c r="I90" s="53"/>
      <c r="J90" s="53"/>
      <c r="K90" s="53"/>
      <c r="L90" s="70"/>
    </row>
    <row r="92" spans="1:12" x14ac:dyDescent="0.3">
      <c r="A92" s="82" t="s">
        <v>466</v>
      </c>
    </row>
    <row r="93" spans="1:12" x14ac:dyDescent="0.3">
      <c r="A93" s="210" t="s">
        <v>642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1" t="s">
        <v>643</v>
      </c>
      <c r="B98" s="211"/>
      <c r="C98" s="211"/>
      <c r="D98" s="211"/>
      <c r="E98" s="211"/>
      <c r="F98" s="211"/>
      <c r="G98" s="211"/>
      <c r="H98" s="211"/>
      <c r="I98" s="211"/>
      <c r="J98" s="211"/>
      <c r="K98" s="211"/>
      <c r="L98" s="211"/>
    </row>
    <row r="99" spans="1:12" x14ac:dyDescent="0.3">
      <c r="A99" s="211"/>
      <c r="B99" s="211"/>
      <c r="C99" s="211"/>
      <c r="D99" s="211"/>
      <c r="E99" s="211"/>
      <c r="F99" s="211"/>
      <c r="G99" s="211"/>
      <c r="H99" s="211"/>
      <c r="I99" s="211"/>
      <c r="J99" s="211"/>
      <c r="K99" s="211"/>
      <c r="L99" s="211"/>
    </row>
    <row r="100" spans="1:12" x14ac:dyDescent="0.3">
      <c r="A100" s="211"/>
      <c r="B100" s="211"/>
      <c r="C100" s="211"/>
      <c r="D100" s="211"/>
      <c r="E100" s="211"/>
      <c r="F100" s="211"/>
      <c r="G100" s="211"/>
      <c r="H100" s="211"/>
      <c r="I100" s="211"/>
      <c r="J100" s="211"/>
      <c r="K100" s="211"/>
      <c r="L100" s="211"/>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625</v>
      </c>
      <c r="C104" s="158" t="s">
        <v>131</v>
      </c>
      <c r="D104" s="206" t="s">
        <v>467</v>
      </c>
      <c r="E104" s="72" t="s">
        <v>626</v>
      </c>
    </row>
    <row r="105" spans="1:12" x14ac:dyDescent="0.3">
      <c r="A105" s="72" t="s">
        <v>627</v>
      </c>
      <c r="C105" s="158" t="s">
        <v>131</v>
      </c>
      <c r="D105" s="206" t="s">
        <v>524</v>
      </c>
      <c r="E105" s="72" t="s">
        <v>628</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616</v>
      </c>
      <c r="B124" s="55"/>
      <c r="C124" s="146" t="s">
        <v>452</v>
      </c>
      <c r="D124" s="72" t="s">
        <v>617</v>
      </c>
    </row>
    <row r="125" spans="1:12" x14ac:dyDescent="0.3">
      <c r="A125" s="55" t="s">
        <v>619</v>
      </c>
      <c r="B125" s="55"/>
      <c r="C125" s="146" t="s">
        <v>452</v>
      </c>
      <c r="D125" s="55" t="s">
        <v>618</v>
      </c>
    </row>
    <row r="126" spans="1:12" ht="13.8" customHeight="1" x14ac:dyDescent="0.3">
      <c r="A126" s="55" t="s">
        <v>620</v>
      </c>
      <c r="B126" s="55"/>
      <c r="C126" s="146" t="s">
        <v>621</v>
      </c>
      <c r="D126" s="205" t="s">
        <v>622</v>
      </c>
    </row>
    <row r="127" spans="1:12" ht="13.8" customHeight="1" x14ac:dyDescent="0.3">
      <c r="A127" s="92"/>
      <c r="B127" s="92"/>
      <c r="C127" s="198"/>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&amp;CMarta Fioravanti&amp;R&amp;P/&amp;N</oddHead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zoomScale="170" zoomScaleNormal="170" workbookViewId="0">
      <selection activeCell="G2" sqref="G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189" t="s">
        <v>600</v>
      </c>
    </row>
    <row r="3" spans="1:12" x14ac:dyDescent="0.3">
      <c r="A3" s="147" t="s">
        <v>0</v>
      </c>
      <c r="B3" s="49" t="s">
        <v>554</v>
      </c>
      <c r="E3" s="147" t="s">
        <v>2</v>
      </c>
      <c r="F3" s="143" t="s">
        <v>549</v>
      </c>
      <c r="H3" s="47" t="s">
        <v>550</v>
      </c>
      <c r="K3" s="49"/>
    </row>
    <row r="4" spans="1:12" x14ac:dyDescent="0.3">
      <c r="A4" s="147" t="s">
        <v>204</v>
      </c>
      <c r="B4" s="49" t="s">
        <v>436</v>
      </c>
      <c r="H4" s="197" t="s">
        <v>551</v>
      </c>
    </row>
    <row r="5" spans="1:12" x14ac:dyDescent="0.3">
      <c r="A5" s="147" t="s">
        <v>4</v>
      </c>
      <c r="B5" s="143" t="s">
        <v>555</v>
      </c>
      <c r="E5" s="190" t="s">
        <v>3</v>
      </c>
      <c r="F5" s="131" t="s">
        <v>552</v>
      </c>
      <c r="G5" s="77"/>
      <c r="H5" s="132" t="s">
        <v>553</v>
      </c>
      <c r="I5" s="77"/>
      <c r="J5" s="77"/>
      <c r="K5" s="123"/>
      <c r="L5" s="77"/>
    </row>
    <row r="6" spans="1:12" x14ac:dyDescent="0.3">
      <c r="A6" s="147" t="s">
        <v>69</v>
      </c>
      <c r="B6" s="49" t="s">
        <v>126</v>
      </c>
      <c r="H6" s="47" t="s">
        <v>556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c r="H10" s="154">
        <v>2</v>
      </c>
      <c r="I10" s="156" t="s">
        <v>13</v>
      </c>
      <c r="J10" s="72" t="s">
        <v>559</v>
      </c>
      <c r="L10" s="154">
        <v>4</v>
      </c>
    </row>
    <row r="11" spans="1:12" x14ac:dyDescent="0.3">
      <c r="A11" s="156" t="s">
        <v>14</v>
      </c>
      <c r="B11" s="72" t="s">
        <v>558</v>
      </c>
      <c r="D11" s="154">
        <v>4</v>
      </c>
      <c r="E11" s="156" t="s">
        <v>16</v>
      </c>
      <c r="F11" s="72"/>
      <c r="H11" s="154">
        <v>3</v>
      </c>
      <c r="I11" s="156" t="s">
        <v>18</v>
      </c>
      <c r="J11" s="72"/>
      <c r="L11" s="154">
        <v>3</v>
      </c>
    </row>
    <row r="12" spans="1:12" x14ac:dyDescent="0.3">
      <c r="A12" s="156" t="s">
        <v>15</v>
      </c>
      <c r="B12" s="72"/>
      <c r="D12" s="154">
        <v>2</v>
      </c>
      <c r="E12" s="156" t="s">
        <v>17</v>
      </c>
      <c r="F12" s="72"/>
      <c r="H12" s="154">
        <v>0</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3</v>
      </c>
      <c r="I16" s="145" t="s">
        <v>31</v>
      </c>
      <c r="J16" s="103" t="s">
        <v>557</v>
      </c>
      <c r="L16" s="154">
        <v>1</v>
      </c>
    </row>
    <row r="17" spans="1:12" x14ac:dyDescent="0.3">
      <c r="A17" s="145" t="s">
        <v>32</v>
      </c>
      <c r="B17" s="72" t="s">
        <v>566</v>
      </c>
      <c r="D17" s="154">
        <v>4</v>
      </c>
      <c r="E17" s="145" t="s">
        <v>33</v>
      </c>
      <c r="F17" s="72"/>
      <c r="G17" s="46"/>
      <c r="H17" s="154">
        <v>0</v>
      </c>
      <c r="I17" s="145" t="s">
        <v>34</v>
      </c>
      <c r="J17" s="72"/>
      <c r="L17" s="154">
        <v>0</v>
      </c>
    </row>
    <row r="18" spans="1:12" x14ac:dyDescent="0.3">
      <c r="A18" s="145" t="s">
        <v>297</v>
      </c>
      <c r="B18" s="72"/>
      <c r="D18" s="154">
        <v>1</v>
      </c>
      <c r="E18" s="145" t="s">
        <v>298</v>
      </c>
      <c r="F18" s="103"/>
      <c r="G18" s="46"/>
      <c r="H18" s="154">
        <v>2</v>
      </c>
      <c r="I18" s="145" t="s">
        <v>36</v>
      </c>
      <c r="J18" s="72"/>
      <c r="L18" s="154">
        <v>0</v>
      </c>
    </row>
    <row r="19" spans="1:12" x14ac:dyDescent="0.3">
      <c r="A19" s="145" t="s">
        <v>26</v>
      </c>
      <c r="B19" s="72"/>
      <c r="D19" s="154">
        <v>0</v>
      </c>
      <c r="E19" s="145" t="s">
        <v>38</v>
      </c>
      <c r="F19" s="72" t="s">
        <v>567</v>
      </c>
      <c r="G19" s="46"/>
      <c r="H19" s="154">
        <v>4</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2</v>
      </c>
      <c r="E24" s="145" t="s">
        <v>43</v>
      </c>
      <c r="G24" s="46"/>
      <c r="H24" s="154">
        <v>0</v>
      </c>
      <c r="I24" s="145" t="s">
        <v>50</v>
      </c>
      <c r="J24" s="72"/>
      <c r="L24" s="154">
        <v>3</v>
      </c>
    </row>
    <row r="25" spans="1:12" x14ac:dyDescent="0.3">
      <c r="A25" s="145" t="s">
        <v>29</v>
      </c>
      <c r="B25" s="72"/>
      <c r="D25" s="154">
        <v>2</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560</v>
      </c>
      <c r="B30" s="46">
        <v>1</v>
      </c>
      <c r="C30" s="165" t="s">
        <v>561</v>
      </c>
      <c r="D30" s="49"/>
      <c r="E30" s="49"/>
      <c r="F30" s="49"/>
      <c r="G30" s="49"/>
      <c r="H30" s="157" t="s">
        <v>203</v>
      </c>
      <c r="I30" s="49"/>
      <c r="J30" s="158">
        <v>4</v>
      </c>
      <c r="K30" s="47" t="s">
        <v>338</v>
      </c>
      <c r="L30" s="46"/>
    </row>
    <row r="31" spans="1:12" x14ac:dyDescent="0.3">
      <c r="A31" s="201" t="s">
        <v>562</v>
      </c>
      <c r="B31" s="46">
        <v>1</v>
      </c>
      <c r="C31" s="72" t="s">
        <v>563</v>
      </c>
      <c r="H31" s="157" t="s">
        <v>59</v>
      </c>
      <c r="J31" s="158">
        <v>3</v>
      </c>
      <c r="K31" s="47" t="s">
        <v>340</v>
      </c>
      <c r="L31" s="46"/>
    </row>
    <row r="32" spans="1:12" x14ac:dyDescent="0.3">
      <c r="A32" s="201" t="s">
        <v>562</v>
      </c>
      <c r="B32" s="46">
        <v>2</v>
      </c>
      <c r="C32" s="72" t="s">
        <v>564</v>
      </c>
      <c r="H32" s="55" t="s">
        <v>70</v>
      </c>
      <c r="J32" s="158" t="s">
        <v>131</v>
      </c>
      <c r="L32" s="46"/>
    </row>
    <row r="33" spans="1:12" x14ac:dyDescent="0.3">
      <c r="B33" s="46"/>
      <c r="C33" s="72" t="s">
        <v>565</v>
      </c>
      <c r="H33" s="55" t="s">
        <v>66</v>
      </c>
      <c r="J33" s="158">
        <v>7</v>
      </c>
      <c r="K33" s="153" t="s">
        <v>325</v>
      </c>
      <c r="L33" s="46"/>
    </row>
    <row r="34" spans="1:12" x14ac:dyDescent="0.3">
      <c r="A34" s="53"/>
      <c r="B34" s="53"/>
      <c r="C34" s="53"/>
      <c r="D34" s="53"/>
      <c r="E34" s="53"/>
      <c r="F34" s="53"/>
      <c r="L34" s="195" t="s">
        <v>331</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3</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595</v>
      </c>
    </row>
    <row r="53" spans="1:12" x14ac:dyDescent="0.3">
      <c r="A53" s="156" t="s">
        <v>100</v>
      </c>
      <c r="C53" s="46">
        <v>2</v>
      </c>
      <c r="D53" s="72" t="s">
        <v>623</v>
      </c>
    </row>
    <row r="54" spans="1:12" x14ac:dyDescent="0.3">
      <c r="A54" s="156" t="s">
        <v>102</v>
      </c>
      <c r="C54" s="46">
        <v>2</v>
      </c>
      <c r="D54" s="72" t="s">
        <v>573</v>
      </c>
      <c r="E54" s="146"/>
    </row>
    <row r="55" spans="1:12" x14ac:dyDescent="0.3">
      <c r="A55" s="156" t="s">
        <v>5</v>
      </c>
      <c r="C55" s="46">
        <v>2</v>
      </c>
      <c r="D55" s="72" t="s">
        <v>613</v>
      </c>
      <c r="E55" s="146"/>
    </row>
    <row r="56" spans="1:12" x14ac:dyDescent="0.3">
      <c r="A56" s="156" t="s">
        <v>96</v>
      </c>
      <c r="C56" s="46">
        <v>3</v>
      </c>
      <c r="D56" s="72" t="s">
        <v>570</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571</v>
      </c>
      <c r="C63" s="46">
        <v>-3</v>
      </c>
      <c r="D63" s="72" t="s">
        <v>583</v>
      </c>
    </row>
    <row r="64" spans="1:12" x14ac:dyDescent="0.3">
      <c r="A64" s="55"/>
      <c r="D64" s="201" t="s">
        <v>582</v>
      </c>
    </row>
    <row r="65" spans="1:12" x14ac:dyDescent="0.3">
      <c r="A65" s="156" t="s">
        <v>572</v>
      </c>
      <c r="C65" s="46">
        <v>-3</v>
      </c>
      <c r="D65" s="201" t="s">
        <v>581</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599</v>
      </c>
    </row>
    <row r="74" spans="1:12" x14ac:dyDescent="0.3">
      <c r="A74" s="49" t="s">
        <v>106</v>
      </c>
      <c r="C74" s="55" t="s">
        <v>584</v>
      </c>
    </row>
    <row r="75" spans="1:12" x14ac:dyDescent="0.3">
      <c r="A75" s="49" t="s">
        <v>98</v>
      </c>
      <c r="C75" s="55" t="s">
        <v>585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586</v>
      </c>
      <c r="E79" s="49" t="s">
        <v>587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35</v>
      </c>
      <c r="E84" s="72" t="s">
        <v>118</v>
      </c>
      <c r="G84" s="192" t="s">
        <v>590</v>
      </c>
      <c r="I84" s="49" t="s">
        <v>0</v>
      </c>
      <c r="K84" s="49" t="s">
        <v>87</v>
      </c>
    </row>
    <row r="85" spans="1:12" x14ac:dyDescent="0.3">
      <c r="A85" s="72" t="s">
        <v>112</v>
      </c>
      <c r="B85" s="58"/>
      <c r="C85" s="191">
        <v>0</v>
      </c>
      <c r="E85" s="72" t="s">
        <v>119</v>
      </c>
      <c r="F85" s="58"/>
      <c r="G85" s="200" t="s">
        <v>253</v>
      </c>
      <c r="I85" s="58"/>
      <c r="J85" s="58"/>
      <c r="K85" s="58"/>
      <c r="L85" s="61"/>
    </row>
    <row r="86" spans="1:12" x14ac:dyDescent="0.3">
      <c r="A86" s="72" t="s">
        <v>114</v>
      </c>
      <c r="C86" s="193">
        <v>32939</v>
      </c>
      <c r="E86" s="72" t="s">
        <v>120</v>
      </c>
      <c r="G86" s="192" t="s">
        <v>591</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588</v>
      </c>
      <c r="E88" s="72" t="s">
        <v>122</v>
      </c>
      <c r="G88" s="192" t="s">
        <v>593</v>
      </c>
      <c r="K88" s="49"/>
      <c r="L88" s="46"/>
    </row>
    <row r="89" spans="1:12" x14ac:dyDescent="0.3">
      <c r="A89" s="72" t="s">
        <v>117</v>
      </c>
      <c r="B89" s="58"/>
      <c r="C89" s="191" t="s">
        <v>589</v>
      </c>
      <c r="E89" s="72"/>
      <c r="F89" s="58"/>
      <c r="G89" s="191"/>
      <c r="I89" s="58"/>
      <c r="J89" s="58"/>
      <c r="K89" s="58"/>
      <c r="L89" s="61"/>
    </row>
    <row r="90" spans="1:12" x14ac:dyDescent="0.3">
      <c r="I90" s="53"/>
      <c r="J90" s="53"/>
      <c r="K90" s="53"/>
      <c r="L90" s="70"/>
    </row>
    <row r="92" spans="1:12" x14ac:dyDescent="0.3">
      <c r="A92" s="82" t="s">
        <v>466</v>
      </c>
    </row>
    <row r="93" spans="1:12" x14ac:dyDescent="0.3">
      <c r="A93" s="211" t="s">
        <v>594</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598</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579</v>
      </c>
      <c r="C104" s="158" t="s">
        <v>131</v>
      </c>
      <c r="D104" s="206" t="s">
        <v>467</v>
      </c>
      <c r="E104" s="201" t="s">
        <v>580</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568</v>
      </c>
      <c r="B124" s="55"/>
      <c r="C124" s="146" t="s">
        <v>96</v>
      </c>
      <c r="D124" s="55" t="s">
        <v>569</v>
      </c>
    </row>
    <row r="125" spans="1:12" x14ac:dyDescent="0.3">
      <c r="A125" s="55" t="s">
        <v>574</v>
      </c>
      <c r="B125" s="55"/>
      <c r="C125" s="146" t="s">
        <v>575</v>
      </c>
      <c r="D125" s="72" t="s">
        <v>576</v>
      </c>
    </row>
    <row r="126" spans="1:12" ht="13.8" customHeight="1" x14ac:dyDescent="0.3">
      <c r="A126" s="55" t="s">
        <v>577</v>
      </c>
      <c r="B126" s="55"/>
      <c r="C126" s="146" t="s">
        <v>575</v>
      </c>
      <c r="D126" s="55" t="s">
        <v>578</v>
      </c>
    </row>
    <row r="127" spans="1:12" ht="13.8" customHeight="1" x14ac:dyDescent="0.3">
      <c r="A127" s="92"/>
      <c r="B127" s="92"/>
      <c r="C127" s="92"/>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&amp;CSofia "Rusty" Rinaldi&amp;R&amp;P/&amp;N</oddHead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zoomScale="170" zoomScaleNormal="170" workbookViewId="0">
      <selection activeCell="B3" sqref="B3"/>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510</v>
      </c>
    </row>
    <row r="3" spans="1:12" x14ac:dyDescent="0.3">
      <c r="A3" s="147" t="s">
        <v>0</v>
      </c>
      <c r="B3" s="49" t="s">
        <v>470</v>
      </c>
      <c r="E3" s="147" t="s">
        <v>2</v>
      </c>
      <c r="F3" s="143" t="s">
        <v>505</v>
      </c>
      <c r="H3" s="47" t="s">
        <v>506</v>
      </c>
      <c r="K3" s="49"/>
    </row>
    <row r="4" spans="1:12" x14ac:dyDescent="0.3">
      <c r="A4" s="147" t="s">
        <v>204</v>
      </c>
      <c r="B4" s="49" t="s">
        <v>436</v>
      </c>
      <c r="H4" s="197" t="s">
        <v>507</v>
      </c>
    </row>
    <row r="5" spans="1:12" x14ac:dyDescent="0.3">
      <c r="A5" s="147" t="s">
        <v>4</v>
      </c>
      <c r="B5" s="143" t="s">
        <v>469</v>
      </c>
      <c r="E5" s="190" t="s">
        <v>3</v>
      </c>
      <c r="F5" s="131" t="s">
        <v>508</v>
      </c>
      <c r="G5" s="77"/>
      <c r="H5" s="132" t="s">
        <v>509</v>
      </c>
      <c r="I5" s="77"/>
      <c r="J5" s="77"/>
      <c r="K5" s="123"/>
      <c r="L5" s="77"/>
    </row>
    <row r="6" spans="1:12" x14ac:dyDescent="0.3">
      <c r="A6" s="147" t="s">
        <v>69</v>
      </c>
      <c r="B6" s="49" t="s">
        <v>126</v>
      </c>
      <c r="H6" s="47" t="s">
        <v>511</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2</v>
      </c>
      <c r="I10" s="156" t="s">
        <v>13</v>
      </c>
      <c r="J10" s="72"/>
      <c r="L10" s="154">
        <v>2</v>
      </c>
    </row>
    <row r="11" spans="1:12" x14ac:dyDescent="0.3">
      <c r="A11" s="156" t="s">
        <v>14</v>
      </c>
      <c r="B11" s="72" t="s">
        <v>512</v>
      </c>
      <c r="D11" s="154">
        <v>4</v>
      </c>
      <c r="E11" s="156" t="s">
        <v>16</v>
      </c>
      <c r="F11" s="72"/>
      <c r="H11" s="154">
        <v>2</v>
      </c>
      <c r="I11" s="156" t="s">
        <v>18</v>
      </c>
      <c r="J11" s="72"/>
      <c r="L11" s="154">
        <v>2</v>
      </c>
    </row>
    <row r="12" spans="1:12" x14ac:dyDescent="0.3">
      <c r="A12" s="156" t="s">
        <v>15</v>
      </c>
      <c r="B12" s="72"/>
      <c r="D12" s="154">
        <v>3</v>
      </c>
      <c r="E12" s="156" t="s">
        <v>17</v>
      </c>
      <c r="F12" s="72"/>
      <c r="H12" s="154">
        <v>2</v>
      </c>
      <c r="I12" s="156" t="s">
        <v>19</v>
      </c>
      <c r="J12" s="72" t="s">
        <v>513</v>
      </c>
      <c r="L12" s="154">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t="s">
        <v>514</v>
      </c>
      <c r="D16" s="154">
        <v>4</v>
      </c>
      <c r="E16" s="145" t="s">
        <v>299</v>
      </c>
      <c r="F16" s="72"/>
      <c r="G16" s="46"/>
      <c r="H16" s="154">
        <v>1</v>
      </c>
      <c r="I16" s="145" t="s">
        <v>31</v>
      </c>
      <c r="J16" s="103"/>
      <c r="L16" s="154">
        <v>0</v>
      </c>
    </row>
    <row r="17" spans="1:12" x14ac:dyDescent="0.3">
      <c r="A17" s="145" t="s">
        <v>32</v>
      </c>
      <c r="B17" s="72"/>
      <c r="D17" s="154">
        <v>0</v>
      </c>
      <c r="E17" s="145" t="s">
        <v>33</v>
      </c>
      <c r="F17" s="72"/>
      <c r="G17" s="46"/>
      <c r="H17" s="154">
        <v>0</v>
      </c>
      <c r="I17" s="145" t="s">
        <v>34</v>
      </c>
      <c r="J17" s="72"/>
      <c r="L17" s="154">
        <v>0</v>
      </c>
    </row>
    <row r="18" spans="1:12" x14ac:dyDescent="0.3">
      <c r="A18" s="145" t="s">
        <v>297</v>
      </c>
      <c r="B18" s="72"/>
      <c r="D18" s="154">
        <v>1</v>
      </c>
      <c r="E18" s="145" t="s">
        <v>298</v>
      </c>
      <c r="F18" s="103" t="s">
        <v>517</v>
      </c>
      <c r="G18" s="46"/>
      <c r="H18" s="154">
        <v>2</v>
      </c>
      <c r="I18" s="145" t="s">
        <v>36</v>
      </c>
      <c r="J18" s="72"/>
      <c r="L18" s="154">
        <v>0</v>
      </c>
    </row>
    <row r="19" spans="1:12" x14ac:dyDescent="0.3">
      <c r="A19" s="145" t="s">
        <v>26</v>
      </c>
      <c r="B19" s="72"/>
      <c r="D19" s="154">
        <v>1</v>
      </c>
      <c r="E19" s="145" t="s">
        <v>38</v>
      </c>
      <c r="F19" s="72"/>
      <c r="G19" s="46"/>
      <c r="H19" s="154">
        <v>1</v>
      </c>
      <c r="I19" s="145" t="s">
        <v>45</v>
      </c>
      <c r="J19" s="72"/>
      <c r="L19" s="154">
        <v>0</v>
      </c>
    </row>
    <row r="20" spans="1:12" x14ac:dyDescent="0.3">
      <c r="A20" s="145" t="s">
        <v>27</v>
      </c>
      <c r="B20" s="72"/>
      <c r="D20" s="154">
        <v>0</v>
      </c>
      <c r="E20" s="145" t="s">
        <v>39</v>
      </c>
      <c r="F20" s="72"/>
      <c r="G20" s="46"/>
      <c r="H20" s="154">
        <v>1</v>
      </c>
      <c r="I20" s="145" t="s">
        <v>46</v>
      </c>
      <c r="J20" s="72"/>
      <c r="L20" s="154">
        <v>0</v>
      </c>
    </row>
    <row r="21" spans="1:12" x14ac:dyDescent="0.3">
      <c r="A21" s="145" t="s">
        <v>28</v>
      </c>
      <c r="B21" s="72" t="s">
        <v>516</v>
      </c>
      <c r="D21" s="154">
        <v>4</v>
      </c>
      <c r="E21" s="145" t="s">
        <v>40</v>
      </c>
      <c r="F21" s="72"/>
      <c r="G21" s="46"/>
      <c r="H21" s="154">
        <v>2</v>
      </c>
      <c r="I21" s="145" t="s">
        <v>47</v>
      </c>
      <c r="J21" s="72"/>
      <c r="L21" s="154">
        <v>0</v>
      </c>
    </row>
    <row r="22" spans="1:12" x14ac:dyDescent="0.3">
      <c r="A22" s="145" t="s">
        <v>24</v>
      </c>
      <c r="B22" s="72" t="s">
        <v>515</v>
      </c>
      <c r="D22" s="154">
        <v>4</v>
      </c>
      <c r="E22" s="145" t="s">
        <v>41</v>
      </c>
      <c r="F22" s="72"/>
      <c r="G22" s="46"/>
      <c r="H22" s="154">
        <v>0</v>
      </c>
      <c r="I22" s="145" t="s">
        <v>48</v>
      </c>
      <c r="J22" s="72"/>
      <c r="L22" s="154">
        <v>1</v>
      </c>
    </row>
    <row r="23" spans="1:12" x14ac:dyDescent="0.3">
      <c r="A23" s="145" t="s">
        <v>407</v>
      </c>
      <c r="B23" s="72"/>
      <c r="D23" s="154">
        <v>0</v>
      </c>
      <c r="E23" s="145" t="s">
        <v>42</v>
      </c>
      <c r="F23" s="72"/>
      <c r="G23" s="46"/>
      <c r="H23" s="154">
        <v>0</v>
      </c>
      <c r="I23" s="145" t="s">
        <v>49</v>
      </c>
      <c r="J23" s="72"/>
      <c r="L23" s="154">
        <v>1</v>
      </c>
    </row>
    <row r="24" spans="1:12" x14ac:dyDescent="0.3">
      <c r="A24" s="145" t="s">
        <v>219</v>
      </c>
      <c r="B24" s="72"/>
      <c r="D24" s="154">
        <v>2</v>
      </c>
      <c r="E24" s="145" t="s">
        <v>43</v>
      </c>
      <c r="F24" s="72"/>
      <c r="G24" s="46"/>
      <c r="H24" s="154">
        <v>1</v>
      </c>
      <c r="I24" s="145" t="s">
        <v>50</v>
      </c>
      <c r="J24" s="72"/>
      <c r="L24" s="154">
        <v>0</v>
      </c>
    </row>
    <row r="25" spans="1:12" x14ac:dyDescent="0.3">
      <c r="A25" s="145" t="s">
        <v>29</v>
      </c>
      <c r="B25" s="72"/>
      <c r="D25" s="154">
        <v>0</v>
      </c>
      <c r="E25" s="145" t="s">
        <v>44</v>
      </c>
      <c r="F25" s="72"/>
      <c r="G25" s="46"/>
      <c r="H25" s="154">
        <v>2</v>
      </c>
      <c r="I25" s="145" t="s">
        <v>51</v>
      </c>
      <c r="J25" s="72"/>
      <c r="L25" s="154">
        <v>2</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129</v>
      </c>
      <c r="B30" s="46">
        <v>2</v>
      </c>
      <c r="C30" s="165" t="s">
        <v>518</v>
      </c>
      <c r="D30" s="49"/>
      <c r="E30" s="49"/>
      <c r="F30" s="49"/>
      <c r="G30" s="49"/>
      <c r="H30" s="157" t="s">
        <v>203</v>
      </c>
      <c r="I30" s="49"/>
      <c r="J30" s="158">
        <v>2</v>
      </c>
      <c r="K30" s="47" t="s">
        <v>338</v>
      </c>
      <c r="L30" s="46"/>
    </row>
    <row r="31" spans="1:12" x14ac:dyDescent="0.3">
      <c r="A31" s="49" t="s">
        <v>130</v>
      </c>
      <c r="B31" s="46">
        <v>1</v>
      </c>
      <c r="C31" s="72" t="s">
        <v>519</v>
      </c>
      <c r="H31" s="157" t="s">
        <v>59</v>
      </c>
      <c r="J31" s="158">
        <v>5</v>
      </c>
      <c r="K31" s="47" t="s">
        <v>340</v>
      </c>
      <c r="L31" s="46"/>
    </row>
    <row r="32" spans="1:12" x14ac:dyDescent="0.3">
      <c r="A32" s="49" t="s">
        <v>130</v>
      </c>
      <c r="B32" s="46">
        <v>2</v>
      </c>
      <c r="C32" s="72" t="s">
        <v>520</v>
      </c>
      <c r="H32" s="55" t="s">
        <v>70</v>
      </c>
      <c r="J32" s="158" t="s">
        <v>131</v>
      </c>
      <c r="L32" s="46"/>
    </row>
    <row r="33" spans="1:12" x14ac:dyDescent="0.3">
      <c r="B33" s="46"/>
      <c r="C33" s="72"/>
      <c r="H33" s="55" t="s">
        <v>66</v>
      </c>
      <c r="J33" s="158">
        <v>6</v>
      </c>
      <c r="K33" s="153" t="s">
        <v>325</v>
      </c>
      <c r="L33" s="46"/>
    </row>
    <row r="34" spans="1:12" x14ac:dyDescent="0.3">
      <c r="A34" s="58"/>
      <c r="B34" s="58"/>
      <c r="C34" s="58"/>
      <c r="D34" s="58"/>
      <c r="E34" s="58"/>
      <c r="F34" s="58"/>
      <c r="L34" s="195" t="s">
        <v>332</v>
      </c>
    </row>
    <row r="35" spans="1:12" x14ac:dyDescent="0.3">
      <c r="H35" s="55" t="s">
        <v>20</v>
      </c>
      <c r="J35" s="158">
        <v>5</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5</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521</v>
      </c>
    </row>
    <row r="53" spans="1:12" x14ac:dyDescent="0.3">
      <c r="A53" s="156" t="s">
        <v>97</v>
      </c>
      <c r="C53" s="46">
        <v>1</v>
      </c>
      <c r="D53" s="72" t="s">
        <v>429</v>
      </c>
    </row>
    <row r="54" spans="1:12" x14ac:dyDescent="0.3">
      <c r="A54" s="156" t="s">
        <v>99</v>
      </c>
      <c r="C54" s="46">
        <v>2</v>
      </c>
      <c r="D54" s="72" t="s">
        <v>522</v>
      </c>
      <c r="E54" s="146"/>
    </row>
    <row r="55" spans="1:12" x14ac:dyDescent="0.3">
      <c r="A55" s="156" t="s">
        <v>5</v>
      </c>
      <c r="C55" s="46">
        <v>1</v>
      </c>
      <c r="D55" s="72" t="s">
        <v>431</v>
      </c>
      <c r="E55" s="146"/>
    </row>
    <row r="56" spans="1:12" x14ac:dyDescent="0.3">
      <c r="A56" s="156" t="s">
        <v>96</v>
      </c>
      <c r="C56" s="46">
        <v>1</v>
      </c>
      <c r="D56" s="72" t="s">
        <v>528</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532</v>
      </c>
      <c r="C63" s="46">
        <v>-5</v>
      </c>
      <c r="D63" s="72" t="s">
        <v>530</v>
      </c>
    </row>
    <row r="64" spans="1:12" x14ac:dyDescent="0.3">
      <c r="A64" s="55"/>
      <c r="D64" s="72" t="s">
        <v>531</v>
      </c>
    </row>
    <row r="65" spans="1:12" x14ac:dyDescent="0.3">
      <c r="A65" s="156" t="s">
        <v>416</v>
      </c>
      <c r="C65" s="46">
        <v>1</v>
      </c>
      <c r="D65" s="72" t="s">
        <v>529</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533</v>
      </c>
    </row>
    <row r="74" spans="1:12" x14ac:dyDescent="0.3">
      <c r="A74" s="49" t="s">
        <v>106</v>
      </c>
      <c r="C74" s="55" t="s">
        <v>534</v>
      </c>
    </row>
    <row r="75" spans="1:12" x14ac:dyDescent="0.3">
      <c r="A75" s="49" t="s">
        <v>98</v>
      </c>
      <c r="C75" s="55" t="s">
        <v>535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536</v>
      </c>
      <c r="B79" s="72"/>
      <c r="C79" s="72" t="s">
        <v>538</v>
      </c>
      <c r="E79" s="49" t="s">
        <v>537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541</v>
      </c>
      <c r="I84" s="49" t="s">
        <v>0</v>
      </c>
      <c r="K84" s="49" t="s">
        <v>87</v>
      </c>
    </row>
    <row r="85" spans="1:12" x14ac:dyDescent="0.3">
      <c r="A85" s="72" t="s">
        <v>112</v>
      </c>
      <c r="B85" s="58"/>
      <c r="C85" s="191">
        <v>0</v>
      </c>
      <c r="E85" s="72" t="s">
        <v>119</v>
      </c>
      <c r="F85" s="58"/>
      <c r="G85" s="200" t="s">
        <v>542</v>
      </c>
      <c r="I85" s="58"/>
      <c r="J85" s="58"/>
      <c r="K85" s="58"/>
      <c r="L85" s="61"/>
    </row>
    <row r="86" spans="1:12" x14ac:dyDescent="0.3">
      <c r="A86" s="72" t="s">
        <v>114</v>
      </c>
      <c r="C86" s="193">
        <v>33345</v>
      </c>
      <c r="E86" s="72" t="s">
        <v>120</v>
      </c>
      <c r="G86" s="192" t="s">
        <v>543</v>
      </c>
      <c r="I86" s="77"/>
      <c r="J86" s="77"/>
      <c r="K86" s="77"/>
      <c r="L86" s="123"/>
    </row>
    <row r="87" spans="1:12" x14ac:dyDescent="0.3">
      <c r="A87" s="72" t="s">
        <v>115</v>
      </c>
      <c r="B87" s="58"/>
      <c r="C87" s="193">
        <v>45943</v>
      </c>
      <c r="E87" s="72" t="s">
        <v>121</v>
      </c>
      <c r="F87" s="58"/>
      <c r="G87" s="191" t="s">
        <v>544</v>
      </c>
      <c r="I87" s="58"/>
      <c r="J87" s="58"/>
      <c r="K87" s="58"/>
      <c r="L87" s="61"/>
    </row>
    <row r="88" spans="1:12" x14ac:dyDescent="0.3">
      <c r="A88" s="72" t="s">
        <v>116</v>
      </c>
      <c r="C88" s="192" t="s">
        <v>539</v>
      </c>
      <c r="E88" s="72" t="s">
        <v>122</v>
      </c>
      <c r="G88" s="192" t="s">
        <v>255</v>
      </c>
      <c r="K88" s="49"/>
      <c r="L88" s="46"/>
    </row>
    <row r="89" spans="1:12" x14ac:dyDescent="0.3">
      <c r="A89" s="72" t="s">
        <v>117</v>
      </c>
      <c r="B89" s="58"/>
      <c r="C89" s="191" t="s">
        <v>540</v>
      </c>
      <c r="E89" s="72"/>
      <c r="F89" s="58"/>
      <c r="G89" s="191"/>
      <c r="I89" s="58"/>
      <c r="J89" s="58"/>
      <c r="K89" s="58"/>
      <c r="L89" s="61"/>
    </row>
    <row r="90" spans="1:12" x14ac:dyDescent="0.3">
      <c r="I90" s="53"/>
      <c r="J90" s="53"/>
      <c r="K90" s="53"/>
      <c r="L90" s="70"/>
    </row>
    <row r="92" spans="1:12" x14ac:dyDescent="0.3">
      <c r="A92" s="82" t="s">
        <v>466</v>
      </c>
    </row>
    <row r="93" spans="1:12" x14ac:dyDescent="0.3">
      <c r="A93" s="211" t="s">
        <v>545</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546</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547</v>
      </c>
      <c r="C104" s="158" t="s">
        <v>131</v>
      </c>
      <c r="D104" s="206" t="s">
        <v>524</v>
      </c>
      <c r="E104" s="201" t="s">
        <v>548</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523</v>
      </c>
      <c r="B124" s="55"/>
      <c r="C124" s="146" t="s">
        <v>452</v>
      </c>
      <c r="D124" s="55" t="s">
        <v>454</v>
      </c>
    </row>
    <row r="125" spans="1:12" x14ac:dyDescent="0.3">
      <c r="A125" s="55" t="s">
        <v>525</v>
      </c>
      <c r="B125" s="55"/>
      <c r="C125" s="146" t="s">
        <v>96</v>
      </c>
      <c r="D125" s="55" t="s">
        <v>526</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91"/>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&amp;CMatteo Bechara&amp;R&amp;P/&amp;N</oddHead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zoomScale="170" zoomScaleNormal="170" workbookViewId="0">
      <selection activeCell="C7" sqref="C7"/>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413</v>
      </c>
    </row>
    <row r="3" spans="1:12" x14ac:dyDescent="0.3">
      <c r="A3" s="147" t="s">
        <v>0</v>
      </c>
      <c r="B3" s="49" t="s">
        <v>408</v>
      </c>
      <c r="E3" s="147" t="s">
        <v>2</v>
      </c>
      <c r="F3" s="143" t="s">
        <v>363</v>
      </c>
      <c r="H3" s="47" t="s">
        <v>409</v>
      </c>
      <c r="K3" s="49"/>
    </row>
    <row r="4" spans="1:12" x14ac:dyDescent="0.3">
      <c r="A4" s="147" t="s">
        <v>204</v>
      </c>
      <c r="B4" s="49" t="s">
        <v>436</v>
      </c>
      <c r="H4" s="47" t="s">
        <v>410</v>
      </c>
    </row>
    <row r="5" spans="1:12" x14ac:dyDescent="0.3">
      <c r="A5" s="147" t="s">
        <v>4</v>
      </c>
      <c r="B5" s="143" t="s">
        <v>362</v>
      </c>
      <c r="E5" s="190" t="s">
        <v>3</v>
      </c>
      <c r="F5" s="131" t="s">
        <v>364</v>
      </c>
      <c r="G5" s="77"/>
      <c r="H5" s="132" t="s">
        <v>411</v>
      </c>
      <c r="I5" s="77"/>
      <c r="J5" s="77"/>
      <c r="K5" s="123"/>
      <c r="L5" s="77"/>
    </row>
    <row r="6" spans="1:12" x14ac:dyDescent="0.3">
      <c r="A6" s="147" t="s">
        <v>69</v>
      </c>
      <c r="B6" s="49" t="s">
        <v>126</v>
      </c>
      <c r="H6" s="47" t="s">
        <v>412</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3</v>
      </c>
      <c r="I10" s="156" t="s">
        <v>13</v>
      </c>
      <c r="J10" s="72"/>
      <c r="L10" s="154">
        <v>2</v>
      </c>
    </row>
    <row r="11" spans="1:12" x14ac:dyDescent="0.3">
      <c r="A11" s="156" t="s">
        <v>14</v>
      </c>
      <c r="B11" s="72"/>
      <c r="D11" s="154">
        <v>2</v>
      </c>
      <c r="E11" s="156" t="s">
        <v>16</v>
      </c>
      <c r="F11" s="72"/>
      <c r="H11" s="154">
        <v>2</v>
      </c>
      <c r="I11" s="156" t="s">
        <v>18</v>
      </c>
      <c r="J11" s="72"/>
      <c r="L11" s="154">
        <v>2</v>
      </c>
    </row>
    <row r="12" spans="1:12" x14ac:dyDescent="0.3">
      <c r="A12" s="156" t="s">
        <v>15</v>
      </c>
      <c r="B12" s="72"/>
      <c r="D12" s="154">
        <v>3</v>
      </c>
      <c r="E12" s="156" t="s">
        <v>17</v>
      </c>
      <c r="F12" s="72" t="s">
        <v>365</v>
      </c>
      <c r="H12" s="154">
        <v>5</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414</v>
      </c>
      <c r="L16" s="154">
        <v>2</v>
      </c>
    </row>
    <row r="17" spans="1:12" x14ac:dyDescent="0.3">
      <c r="A17" s="145" t="s">
        <v>32</v>
      </c>
      <c r="B17" s="72"/>
      <c r="D17" s="154">
        <v>1</v>
      </c>
      <c r="E17" s="145" t="s">
        <v>33</v>
      </c>
      <c r="F17" s="72"/>
      <c r="G17" s="46"/>
      <c r="H17" s="154">
        <v>2</v>
      </c>
      <c r="I17" s="145" t="s">
        <v>34</v>
      </c>
      <c r="J17" s="72"/>
      <c r="L17" s="154">
        <v>0</v>
      </c>
    </row>
    <row r="18" spans="1:12" x14ac:dyDescent="0.3">
      <c r="A18" s="145" t="s">
        <v>297</v>
      </c>
      <c r="B18" s="72"/>
      <c r="D18" s="154">
        <v>1</v>
      </c>
      <c r="E18" s="145" t="s">
        <v>298</v>
      </c>
      <c r="F18" s="72"/>
      <c r="G18" s="46"/>
      <c r="H18" s="154">
        <v>4</v>
      </c>
      <c r="I18" s="145" t="s">
        <v>36</v>
      </c>
      <c r="J18" s="72"/>
      <c r="L18" s="154">
        <v>0</v>
      </c>
    </row>
    <row r="19" spans="1:12" x14ac:dyDescent="0.3">
      <c r="A19" s="145" t="s">
        <v>26</v>
      </c>
      <c r="B19" s="72"/>
      <c r="D19" s="154">
        <v>3</v>
      </c>
      <c r="E19" s="145" t="s">
        <v>38</v>
      </c>
      <c r="F19" s="72"/>
      <c r="G19" s="46"/>
      <c r="H19" s="154">
        <v>0</v>
      </c>
      <c r="I19" s="145" t="s">
        <v>45</v>
      </c>
      <c r="J19" s="72"/>
      <c r="L19" s="154">
        <v>0</v>
      </c>
    </row>
    <row r="20" spans="1:12" x14ac:dyDescent="0.3">
      <c r="A20" s="145" t="s">
        <v>27</v>
      </c>
      <c r="B20" s="72"/>
      <c r="D20" s="154">
        <v>3</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0</v>
      </c>
      <c r="E24" s="145" t="s">
        <v>43</v>
      </c>
      <c r="F24" s="72"/>
      <c r="G24" s="46"/>
      <c r="H24" s="154">
        <v>0</v>
      </c>
      <c r="I24" s="145" t="s">
        <v>50</v>
      </c>
      <c r="J24" s="72"/>
      <c r="L24" s="154">
        <v>1</v>
      </c>
    </row>
    <row r="25" spans="1:12" x14ac:dyDescent="0.3">
      <c r="A25" s="145" t="s">
        <v>29</v>
      </c>
      <c r="B25" s="72"/>
      <c r="D25" s="154">
        <v>1</v>
      </c>
      <c r="E25" s="145" t="s">
        <v>44</v>
      </c>
      <c r="F25" s="72"/>
      <c r="G25" s="46"/>
      <c r="H25" s="154">
        <v>1</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366</v>
      </c>
      <c r="B30" s="46">
        <v>1</v>
      </c>
      <c r="C30" s="72" t="s">
        <v>437</v>
      </c>
      <c r="D30" s="49"/>
      <c r="E30" s="49"/>
      <c r="F30" s="49"/>
      <c r="G30" s="49"/>
      <c r="H30" s="157" t="s">
        <v>203</v>
      </c>
      <c r="I30" s="49"/>
      <c r="J30" s="158">
        <v>3</v>
      </c>
      <c r="K30" s="47" t="s">
        <v>338</v>
      </c>
      <c r="L30" s="46"/>
    </row>
    <row r="31" spans="1:12" x14ac:dyDescent="0.3">
      <c r="A31" s="49" t="s">
        <v>189</v>
      </c>
      <c r="B31" s="46">
        <v>1</v>
      </c>
      <c r="C31" s="72" t="s">
        <v>301</v>
      </c>
      <c r="H31" s="157" t="s">
        <v>59</v>
      </c>
      <c r="J31" s="158">
        <v>4</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6</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367</v>
      </c>
      <c r="C52" s="46">
        <v>2</v>
      </c>
      <c r="D52" s="72" t="s">
        <v>428</v>
      </c>
    </row>
    <row r="53" spans="1:12" x14ac:dyDescent="0.3">
      <c r="A53" s="156" t="s">
        <v>97</v>
      </c>
      <c r="C53" s="46">
        <v>2</v>
      </c>
      <c r="D53" s="72" t="s">
        <v>429</v>
      </c>
    </row>
    <row r="54" spans="1:12" x14ac:dyDescent="0.3">
      <c r="A54" s="156" t="s">
        <v>99</v>
      </c>
      <c r="C54" s="46">
        <v>3</v>
      </c>
      <c r="D54" s="72" t="s">
        <v>430</v>
      </c>
      <c r="E54" s="146"/>
    </row>
    <row r="55" spans="1:12" x14ac:dyDescent="0.3">
      <c r="A55" s="156" t="s">
        <v>5</v>
      </c>
      <c r="C55" s="46">
        <v>1</v>
      </c>
      <c r="D55" s="72" t="s">
        <v>431</v>
      </c>
      <c r="E55" s="146"/>
    </row>
    <row r="56" spans="1:12" x14ac:dyDescent="0.3">
      <c r="A56" s="156" t="s">
        <v>101</v>
      </c>
      <c r="C56" s="46">
        <v>1</v>
      </c>
      <c r="D56" s="72" t="s">
        <v>434</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418</v>
      </c>
      <c r="C63" s="46">
        <v>5</v>
      </c>
      <c r="D63" s="72" t="s">
        <v>422</v>
      </c>
    </row>
    <row r="64" spans="1:12" x14ac:dyDescent="0.3">
      <c r="A64" s="55"/>
      <c r="D64" s="72" t="s">
        <v>425</v>
      </c>
    </row>
    <row r="65" spans="1:12" x14ac:dyDescent="0.3">
      <c r="A65" s="156" t="s">
        <v>416</v>
      </c>
      <c r="C65" s="46">
        <v>1</v>
      </c>
      <c r="D65" s="72" t="s">
        <v>423</v>
      </c>
    </row>
    <row r="66" spans="1:12" x14ac:dyDescent="0.3">
      <c r="A66" s="156" t="s">
        <v>419</v>
      </c>
      <c r="C66" s="46">
        <v>-3</v>
      </c>
      <c r="D66" s="72" t="s">
        <v>426</v>
      </c>
    </row>
    <row r="67" spans="1:12" x14ac:dyDescent="0.3">
      <c r="A67" s="156" t="s">
        <v>417</v>
      </c>
      <c r="C67" s="46">
        <v>-2</v>
      </c>
      <c r="D67" s="72" t="s">
        <v>427</v>
      </c>
    </row>
    <row r="68" spans="1:12" x14ac:dyDescent="0.3">
      <c r="A68" s="156" t="s">
        <v>420</v>
      </c>
      <c r="C68" s="46">
        <v>-1</v>
      </c>
      <c r="D68" s="72" t="s">
        <v>421</v>
      </c>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442</v>
      </c>
    </row>
    <row r="74" spans="1:12" x14ac:dyDescent="0.3">
      <c r="A74" s="49" t="s">
        <v>106</v>
      </c>
      <c r="C74" s="55" t="s">
        <v>449</v>
      </c>
    </row>
    <row r="75" spans="1:12" x14ac:dyDescent="0.3">
      <c r="A75" s="49" t="s">
        <v>98</v>
      </c>
      <c r="C75" s="55" t="s">
        <v>450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448</v>
      </c>
      <c r="E79" s="49" t="s">
        <v>451</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29</v>
      </c>
      <c r="E84" s="72" t="s">
        <v>118</v>
      </c>
      <c r="G84" s="192" t="s">
        <v>468</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36047</v>
      </c>
      <c r="E86" s="72" t="s">
        <v>120</v>
      </c>
      <c r="G86" s="192" t="s">
        <v>443</v>
      </c>
      <c r="I86" s="77"/>
      <c r="J86" s="77"/>
      <c r="K86" s="77"/>
      <c r="L86" s="123"/>
    </row>
    <row r="87" spans="1:12" x14ac:dyDescent="0.3">
      <c r="A87" s="72" t="s">
        <v>115</v>
      </c>
      <c r="B87" s="58"/>
      <c r="C87" s="193">
        <v>45943</v>
      </c>
      <c r="E87" s="72" t="s">
        <v>121</v>
      </c>
      <c r="F87" s="58"/>
      <c r="G87" s="191" t="s">
        <v>444</v>
      </c>
      <c r="I87" s="58"/>
      <c r="J87" s="58"/>
      <c r="K87" s="58"/>
      <c r="L87" s="61"/>
    </row>
    <row r="88" spans="1:12" x14ac:dyDescent="0.3">
      <c r="A88" s="72" t="s">
        <v>116</v>
      </c>
      <c r="C88" s="192" t="s">
        <v>445</v>
      </c>
      <c r="E88" s="72" t="s">
        <v>122</v>
      </c>
      <c r="G88" s="192" t="s">
        <v>255</v>
      </c>
      <c r="K88" s="49"/>
      <c r="L88" s="46"/>
    </row>
    <row r="89" spans="1:12" x14ac:dyDescent="0.3">
      <c r="A89" s="72" t="s">
        <v>117</v>
      </c>
      <c r="B89" s="58"/>
      <c r="C89" s="191" t="s">
        <v>446</v>
      </c>
      <c r="E89" s="72"/>
      <c r="F89" s="58"/>
      <c r="G89" s="191"/>
      <c r="I89" s="58"/>
      <c r="J89" s="58"/>
      <c r="K89" s="58"/>
      <c r="L89" s="61"/>
    </row>
    <row r="90" spans="1:12" x14ac:dyDescent="0.3">
      <c r="I90" s="53"/>
      <c r="J90" s="53"/>
      <c r="K90" s="53"/>
      <c r="L90" s="70"/>
    </row>
    <row r="92" spans="1:12" x14ac:dyDescent="0.3">
      <c r="A92" s="82" t="s">
        <v>466</v>
      </c>
    </row>
    <row r="93" spans="1:12" x14ac:dyDescent="0.3">
      <c r="A93" s="210" t="s">
        <v>441</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447</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463</v>
      </c>
      <c r="C104" s="158" t="s">
        <v>131</v>
      </c>
      <c r="D104" s="206" t="s">
        <v>467</v>
      </c>
      <c r="E104" s="72" t="s">
        <v>465</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453</v>
      </c>
      <c r="B124" s="55"/>
      <c r="C124" s="146" t="s">
        <v>452</v>
      </c>
      <c r="D124" s="55" t="s">
        <v>454</v>
      </c>
    </row>
    <row r="125" spans="1:12" x14ac:dyDescent="0.3">
      <c r="A125" s="55" t="s">
        <v>455</v>
      </c>
      <c r="B125" s="55"/>
      <c r="C125" s="146" t="s">
        <v>452</v>
      </c>
      <c r="D125" s="55" t="s">
        <v>456</v>
      </c>
    </row>
    <row r="126" spans="1:12" ht="13.8" customHeight="1" x14ac:dyDescent="0.3">
      <c r="A126" s="55" t="s">
        <v>460</v>
      </c>
      <c r="B126" s="55"/>
      <c r="C126" s="146" t="s">
        <v>101</v>
      </c>
      <c r="D126" s="55" t="s">
        <v>461</v>
      </c>
    </row>
    <row r="127" spans="1:12" ht="13.8" customHeight="1" x14ac:dyDescent="0.3">
      <c r="A127" s="55" t="s">
        <v>457</v>
      </c>
      <c r="B127" s="55"/>
      <c r="C127" s="146" t="s">
        <v>458</v>
      </c>
      <c r="D127" s="55" t="s">
        <v>459</v>
      </c>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&amp;CPaolo Venturi&amp;R&amp;P/&amp;N</oddHead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49" customWidth="1"/>
    <col min="11" max="11" width="8.21875" style="46" customWidth="1"/>
    <col min="12" max="12" width="8.21875" style="49" customWidth="1"/>
    <col min="13" max="16384" width="8.88671875" style="49"/>
  </cols>
  <sheetData>
    <row r="1" spans="1:12" ht="17.399999999999999" x14ac:dyDescent="0.3">
      <c r="A1" s="48" t="s">
        <v>65</v>
      </c>
      <c r="I1" s="50"/>
      <c r="L1" s="51" t="s">
        <v>232</v>
      </c>
    </row>
    <row r="3" spans="1:12" x14ac:dyDescent="0.3">
      <c r="A3" s="52" t="s">
        <v>0</v>
      </c>
      <c r="B3" s="53" t="s">
        <v>206</v>
      </c>
      <c r="C3" s="53"/>
      <c r="D3" s="54"/>
      <c r="E3" s="55" t="s">
        <v>209</v>
      </c>
      <c r="F3" s="56"/>
      <c r="G3" s="53"/>
      <c r="H3" s="54"/>
      <c r="I3" s="55" t="s">
        <v>225</v>
      </c>
      <c r="J3" s="53" t="s">
        <v>226</v>
      </c>
      <c r="K3" s="57"/>
      <c r="L3" s="53"/>
    </row>
    <row r="4" spans="1:12" x14ac:dyDescent="0.3">
      <c r="A4" s="52" t="s">
        <v>1</v>
      </c>
      <c r="B4" s="58" t="s">
        <v>205</v>
      </c>
      <c r="C4" s="58"/>
      <c r="D4" s="59"/>
      <c r="E4" s="55" t="s">
        <v>210</v>
      </c>
      <c r="F4" s="60" t="s">
        <v>211</v>
      </c>
      <c r="G4" s="58"/>
      <c r="H4" s="59"/>
      <c r="I4" s="55" t="s">
        <v>4</v>
      </c>
      <c r="J4" s="58" t="s">
        <v>208</v>
      </c>
      <c r="K4" s="61"/>
      <c r="L4" s="58"/>
    </row>
    <row r="5" spans="1:12" x14ac:dyDescent="0.3">
      <c r="A5" s="52" t="s">
        <v>204</v>
      </c>
      <c r="B5" s="58" t="s">
        <v>207</v>
      </c>
      <c r="C5" s="58"/>
      <c r="D5" s="59"/>
      <c r="E5" s="55" t="s">
        <v>223</v>
      </c>
      <c r="F5" s="60" t="s">
        <v>280</v>
      </c>
      <c r="G5" s="58"/>
      <c r="H5" s="59"/>
      <c r="I5" s="55" t="s">
        <v>5</v>
      </c>
      <c r="J5" s="58" t="s">
        <v>62</v>
      </c>
      <c r="K5" s="62" t="s">
        <v>224</v>
      </c>
      <c r="L5" s="58"/>
    </row>
    <row r="7" spans="1:12" ht="17.399999999999999" x14ac:dyDescent="0.3">
      <c r="F7" s="63" t="s">
        <v>7</v>
      </c>
    </row>
    <row r="8" spans="1:12" ht="8.4" customHeight="1" x14ac:dyDescent="0.3"/>
    <row r="9" spans="1:12" x14ac:dyDescent="0.3">
      <c r="B9" s="93" t="s">
        <v>8</v>
      </c>
      <c r="C9" s="94"/>
      <c r="D9" s="94"/>
      <c r="E9" s="94"/>
      <c r="F9" s="93" t="s">
        <v>9</v>
      </c>
      <c r="G9" s="94"/>
      <c r="H9" s="94"/>
      <c r="I9" s="94"/>
      <c r="J9" s="93" t="s">
        <v>10</v>
      </c>
    </row>
    <row r="10" spans="1:12" x14ac:dyDescent="0.3">
      <c r="A10" s="102" t="s">
        <v>11</v>
      </c>
      <c r="C10" s="46">
        <v>1</v>
      </c>
      <c r="D10" s="66"/>
      <c r="E10" s="71" t="s">
        <v>12</v>
      </c>
      <c r="G10" s="46">
        <v>4</v>
      </c>
      <c r="H10" s="66"/>
      <c r="I10" s="71" t="s">
        <v>18</v>
      </c>
      <c r="K10" s="46">
        <v>2</v>
      </c>
    </row>
    <row r="11" spans="1:12" x14ac:dyDescent="0.3">
      <c r="A11" s="102" t="s">
        <v>14</v>
      </c>
      <c r="C11" s="46">
        <v>2</v>
      </c>
      <c r="D11" s="66"/>
      <c r="E11" s="71" t="s">
        <v>16</v>
      </c>
      <c r="G11" s="46">
        <v>3</v>
      </c>
      <c r="H11" s="66"/>
      <c r="I11" s="71" t="s">
        <v>19</v>
      </c>
      <c r="K11" s="46">
        <v>2</v>
      </c>
    </row>
    <row r="12" spans="1:12" x14ac:dyDescent="0.3">
      <c r="A12" s="102" t="s">
        <v>15</v>
      </c>
      <c r="C12" s="46">
        <v>2</v>
      </c>
      <c r="D12" s="66"/>
      <c r="E12" s="71" t="s">
        <v>229</v>
      </c>
      <c r="G12" s="46">
        <v>3</v>
      </c>
      <c r="H12" s="66"/>
      <c r="I12" s="71" t="s">
        <v>230</v>
      </c>
      <c r="K12" s="46">
        <v>3</v>
      </c>
    </row>
    <row r="13" spans="1:12" x14ac:dyDescent="0.3">
      <c r="C13" s="67"/>
      <c r="G13" s="67"/>
      <c r="K13" s="67"/>
    </row>
    <row r="14" spans="1:12" ht="17.399999999999999" x14ac:dyDescent="0.3">
      <c r="F14" s="63" t="s">
        <v>21</v>
      </c>
    </row>
    <row r="15" spans="1:12" ht="9" customHeight="1" x14ac:dyDescent="0.3"/>
    <row r="16" spans="1:12" x14ac:dyDescent="0.3">
      <c r="B16" s="93" t="s">
        <v>53</v>
      </c>
      <c r="C16" s="93"/>
      <c r="D16" s="93"/>
      <c r="E16" s="93"/>
      <c r="F16" s="93" t="s">
        <v>22</v>
      </c>
      <c r="G16" s="93"/>
      <c r="H16" s="93"/>
      <c r="I16" s="93"/>
      <c r="J16" s="93" t="s">
        <v>54</v>
      </c>
    </row>
    <row r="17" spans="1:12" x14ac:dyDescent="0.3">
      <c r="A17" s="52" t="s">
        <v>33</v>
      </c>
      <c r="C17" s="46">
        <v>0</v>
      </c>
      <c r="D17" s="66"/>
      <c r="E17" s="55" t="s">
        <v>213</v>
      </c>
      <c r="G17" s="46">
        <v>0</v>
      </c>
      <c r="H17" s="66"/>
      <c r="I17" s="55" t="s">
        <v>31</v>
      </c>
      <c r="K17" s="46">
        <v>0</v>
      </c>
    </row>
    <row r="18" spans="1:12" x14ac:dyDescent="0.3">
      <c r="A18" s="52" t="s">
        <v>23</v>
      </c>
      <c r="C18" s="46">
        <v>2</v>
      </c>
      <c r="D18" s="66"/>
      <c r="E18" s="55" t="s">
        <v>32</v>
      </c>
      <c r="G18" s="46">
        <v>4</v>
      </c>
      <c r="H18" s="66"/>
      <c r="I18" s="55" t="s">
        <v>219</v>
      </c>
      <c r="K18" s="46">
        <v>2</v>
      </c>
    </row>
    <row r="19" spans="1:12" x14ac:dyDescent="0.3">
      <c r="A19" s="52" t="s">
        <v>212</v>
      </c>
      <c r="C19" s="46">
        <v>0</v>
      </c>
      <c r="D19" s="66"/>
      <c r="E19" s="55" t="s">
        <v>214</v>
      </c>
      <c r="G19" s="46">
        <v>0</v>
      </c>
      <c r="H19" s="66"/>
      <c r="I19" s="55" t="s">
        <v>34</v>
      </c>
      <c r="K19" s="46">
        <v>0</v>
      </c>
    </row>
    <row r="20" spans="1:12" x14ac:dyDescent="0.3">
      <c r="A20" s="52" t="s">
        <v>38</v>
      </c>
      <c r="C20" s="46">
        <v>0</v>
      </c>
      <c r="D20" s="66"/>
      <c r="E20" s="55" t="s">
        <v>215</v>
      </c>
      <c r="G20" s="46">
        <v>1</v>
      </c>
      <c r="H20" s="66"/>
      <c r="I20" s="55" t="s">
        <v>45</v>
      </c>
      <c r="K20" s="46">
        <v>3</v>
      </c>
    </row>
    <row r="21" spans="1:12" x14ac:dyDescent="0.3">
      <c r="A21" s="52" t="s">
        <v>40</v>
      </c>
      <c r="C21" s="46">
        <v>0</v>
      </c>
      <c r="D21" s="66"/>
      <c r="E21" s="55" t="s">
        <v>27</v>
      </c>
      <c r="G21" s="46">
        <v>0</v>
      </c>
      <c r="H21" s="66"/>
      <c r="I21" s="55" t="s">
        <v>48</v>
      </c>
      <c r="K21" s="46">
        <v>0</v>
      </c>
    </row>
    <row r="22" spans="1:12" x14ac:dyDescent="0.3">
      <c r="A22" s="52" t="s">
        <v>41</v>
      </c>
      <c r="C22" s="46">
        <v>0</v>
      </c>
      <c r="D22" s="66"/>
      <c r="E22" s="55" t="s">
        <v>39</v>
      </c>
      <c r="G22" s="46">
        <v>0</v>
      </c>
      <c r="H22" s="66"/>
      <c r="I22" s="55" t="s">
        <v>49</v>
      </c>
      <c r="K22" s="46">
        <v>0</v>
      </c>
    </row>
    <row r="23" spans="1:12" x14ac:dyDescent="0.3">
      <c r="A23" s="52" t="s">
        <v>42</v>
      </c>
      <c r="C23" s="46">
        <v>0</v>
      </c>
      <c r="D23" s="66"/>
      <c r="E23" s="55" t="s">
        <v>28</v>
      </c>
      <c r="G23" s="46">
        <v>2</v>
      </c>
      <c r="H23" s="66"/>
      <c r="I23" s="55" t="s">
        <v>50</v>
      </c>
      <c r="K23" s="46">
        <v>3</v>
      </c>
    </row>
    <row r="24" spans="1:12" x14ac:dyDescent="0.3">
      <c r="A24" s="52" t="s">
        <v>24</v>
      </c>
      <c r="C24" s="46">
        <v>0</v>
      </c>
      <c r="D24" s="66"/>
      <c r="E24" s="55" t="s">
        <v>216</v>
      </c>
      <c r="G24" s="46">
        <v>1</v>
      </c>
      <c r="H24" s="66"/>
      <c r="I24" s="55" t="s">
        <v>51</v>
      </c>
      <c r="K24" s="46">
        <v>0</v>
      </c>
    </row>
    <row r="25" spans="1:12" x14ac:dyDescent="0.3">
      <c r="A25" s="52" t="s">
        <v>44</v>
      </c>
      <c r="C25" s="46">
        <v>1</v>
      </c>
      <c r="D25" s="66"/>
      <c r="E25" s="55" t="s">
        <v>217</v>
      </c>
      <c r="F25" s="103" t="s">
        <v>218</v>
      </c>
      <c r="G25" s="46">
        <v>3</v>
      </c>
      <c r="H25" s="66"/>
      <c r="I25" s="55" t="s">
        <v>220</v>
      </c>
      <c r="K25" s="46">
        <v>0</v>
      </c>
    </row>
    <row r="26" spans="1:12" x14ac:dyDescent="0.3">
      <c r="A26" s="69"/>
      <c r="C26" s="70"/>
      <c r="D26" s="66"/>
      <c r="E26" s="69"/>
      <c r="G26" s="70"/>
      <c r="H26" s="66"/>
      <c r="I26" s="69"/>
      <c r="K26" s="70"/>
    </row>
    <row r="27" spans="1:12" x14ac:dyDescent="0.3">
      <c r="C27" s="67"/>
      <c r="G27" s="67"/>
      <c r="K27" s="67"/>
    </row>
    <row r="28" spans="1:12" ht="13.8" customHeight="1" x14ac:dyDescent="0.3">
      <c r="A28" s="130" t="s">
        <v>56</v>
      </c>
      <c r="B28" s="104" t="s">
        <v>73</v>
      </c>
      <c r="C28" s="105" t="s">
        <v>87</v>
      </c>
      <c r="D28" s="53"/>
      <c r="E28" s="53"/>
      <c r="G28" s="65"/>
      <c r="H28" s="65"/>
      <c r="I28" s="93" t="s">
        <v>57</v>
      </c>
      <c r="J28" s="65"/>
      <c r="K28" s="64"/>
      <c r="L28" s="64"/>
    </row>
    <row r="29" spans="1:12" s="65" customFormat="1" x14ac:dyDescent="0.3">
      <c r="A29" s="135" t="s">
        <v>221</v>
      </c>
      <c r="B29" s="61">
        <v>1</v>
      </c>
      <c r="C29" s="74" t="s">
        <v>269</v>
      </c>
      <c r="D29" s="58"/>
      <c r="E29" s="58"/>
      <c r="F29" s="58"/>
      <c r="G29" s="49"/>
      <c r="H29" s="129" t="s">
        <v>227</v>
      </c>
      <c r="I29" s="49"/>
      <c r="J29" s="46">
        <v>5</v>
      </c>
      <c r="K29" s="46"/>
      <c r="L29" s="46"/>
    </row>
    <row r="30" spans="1:12" x14ac:dyDescent="0.3">
      <c r="A30" s="135" t="s">
        <v>221</v>
      </c>
      <c r="B30" s="61">
        <v>2</v>
      </c>
      <c r="C30" s="74" t="s">
        <v>270</v>
      </c>
      <c r="D30" s="58"/>
      <c r="E30" s="58"/>
      <c r="F30" s="58"/>
      <c r="H30" s="129" t="s">
        <v>228</v>
      </c>
      <c r="J30" s="46">
        <v>7</v>
      </c>
      <c r="L30" s="46"/>
    </row>
    <row r="31" spans="1:12" x14ac:dyDescent="0.3">
      <c r="A31" s="135" t="s">
        <v>221</v>
      </c>
      <c r="B31" s="61">
        <v>3</v>
      </c>
      <c r="C31" s="74" t="s">
        <v>271</v>
      </c>
      <c r="D31" s="58"/>
      <c r="E31" s="136" t="s">
        <v>222</v>
      </c>
      <c r="F31" s="58"/>
      <c r="H31" s="129" t="s">
        <v>202</v>
      </c>
      <c r="J31" s="46">
        <v>5</v>
      </c>
      <c r="L31" s="46"/>
    </row>
    <row r="32" spans="1:12" x14ac:dyDescent="0.3">
      <c r="A32" s="135" t="s">
        <v>129</v>
      </c>
      <c r="B32" s="61">
        <v>1</v>
      </c>
      <c r="C32" s="74" t="s">
        <v>272</v>
      </c>
      <c r="D32" s="58"/>
      <c r="E32" s="58"/>
      <c r="F32" s="58"/>
      <c r="H32" s="129" t="s">
        <v>150</v>
      </c>
      <c r="J32" s="46">
        <v>7</v>
      </c>
      <c r="L32" s="46"/>
    </row>
    <row r="33" spans="1:12" x14ac:dyDescent="0.3">
      <c r="H33" s="129" t="s">
        <v>233</v>
      </c>
      <c r="J33" s="46">
        <v>1</v>
      </c>
      <c r="K33" s="49"/>
      <c r="L33" s="46"/>
    </row>
    <row r="34" spans="1:12" x14ac:dyDescent="0.3">
      <c r="A34" s="74"/>
      <c r="B34" s="61"/>
      <c r="C34" s="74"/>
      <c r="D34" s="58"/>
      <c r="E34" s="61"/>
      <c r="F34" s="58"/>
      <c r="H34" s="129" t="s">
        <v>231</v>
      </c>
      <c r="J34" s="46"/>
      <c r="L34" s="46"/>
    </row>
    <row r="35" spans="1:12" x14ac:dyDescent="0.3">
      <c r="A35" s="74"/>
      <c r="B35" s="61"/>
      <c r="C35" s="74"/>
      <c r="D35" s="58"/>
      <c r="E35" s="61"/>
      <c r="F35" s="58"/>
      <c r="H35" s="65"/>
      <c r="J35" s="65"/>
      <c r="K35" s="49"/>
      <c r="L35" s="46"/>
    </row>
    <row r="36" spans="1:12" x14ac:dyDescent="0.3">
      <c r="A36" s="74"/>
      <c r="B36" s="61"/>
      <c r="C36" s="74"/>
      <c r="D36" s="58"/>
      <c r="E36" s="61"/>
      <c r="F36" s="58"/>
      <c r="H36" s="130" t="s">
        <v>63</v>
      </c>
      <c r="I36" s="67"/>
      <c r="J36" s="72" t="s">
        <v>60</v>
      </c>
      <c r="K36" s="47" t="s">
        <v>64</v>
      </c>
      <c r="L36" s="124"/>
    </row>
    <row r="37" spans="1:12" x14ac:dyDescent="0.3">
      <c r="A37" s="74"/>
      <c r="B37" s="61"/>
      <c r="C37" s="74"/>
      <c r="D37" s="58"/>
      <c r="E37" s="61"/>
      <c r="F37" s="58"/>
      <c r="H37" s="96" t="s">
        <v>257</v>
      </c>
      <c r="I37" s="56"/>
      <c r="J37" s="70">
        <v>1</v>
      </c>
      <c r="K37" s="97" t="s">
        <v>258</v>
      </c>
      <c r="L37" s="98"/>
    </row>
    <row r="38" spans="1:12" s="65" customFormat="1" x14ac:dyDescent="0.3">
      <c r="F38" s="49"/>
      <c r="H38" s="96"/>
      <c r="J38" s="64"/>
      <c r="K38" s="97"/>
    </row>
    <row r="39" spans="1:12" ht="13.8" customHeight="1" x14ac:dyDescent="0.3">
      <c r="E39" s="95" t="s">
        <v>241</v>
      </c>
      <c r="G39" s="72"/>
      <c r="H39" s="96" t="s">
        <v>276</v>
      </c>
      <c r="I39" s="58"/>
      <c r="J39" s="61">
        <v>1</v>
      </c>
      <c r="K39" s="97" t="s">
        <v>277</v>
      </c>
      <c r="L39" s="58"/>
    </row>
    <row r="40" spans="1:12" ht="13.8" customHeight="1" x14ac:dyDescent="0.3">
      <c r="G40" s="72"/>
      <c r="H40" s="141" t="s">
        <v>278</v>
      </c>
      <c r="I40" s="58"/>
      <c r="J40" s="61">
        <v>1</v>
      </c>
      <c r="K40" s="97"/>
      <c r="L40" s="53"/>
    </row>
    <row r="41" spans="1:12" x14ac:dyDescent="0.3">
      <c r="A41" s="99"/>
      <c r="B41" s="60"/>
      <c r="C41" s="61"/>
      <c r="D41" s="100"/>
      <c r="E41" s="101"/>
      <c r="G41" s="72"/>
      <c r="H41" s="96"/>
      <c r="I41" s="56"/>
      <c r="J41" s="70"/>
      <c r="K41" s="97"/>
      <c r="L41" s="58"/>
    </row>
    <row r="42" spans="1:12" x14ac:dyDescent="0.3">
      <c r="A42" s="99"/>
      <c r="B42" s="131"/>
      <c r="C42" s="123"/>
      <c r="D42" s="132"/>
      <c r="E42" s="133"/>
      <c r="G42" s="55"/>
      <c r="H42" s="96"/>
      <c r="I42" s="56"/>
      <c r="J42" s="70"/>
      <c r="K42" s="97"/>
    </row>
    <row r="43" spans="1:12" x14ac:dyDescent="0.3">
      <c r="B43" s="131"/>
      <c r="C43" s="123"/>
      <c r="D43" s="132"/>
      <c r="E43" s="134" t="s">
        <v>242</v>
      </c>
      <c r="H43" s="96" t="s">
        <v>273</v>
      </c>
      <c r="I43" s="56"/>
      <c r="J43" s="70">
        <v>3</v>
      </c>
      <c r="K43" s="97"/>
      <c r="L43" s="58"/>
    </row>
    <row r="44" spans="1:12" x14ac:dyDescent="0.3">
      <c r="A44" s="73" t="s">
        <v>243</v>
      </c>
      <c r="B44" s="56"/>
      <c r="C44" s="70"/>
      <c r="D44" s="97"/>
      <c r="E44" s="98"/>
      <c r="H44" s="96" t="s">
        <v>274</v>
      </c>
      <c r="I44" s="56"/>
      <c r="J44" s="70">
        <v>3</v>
      </c>
      <c r="K44" s="97"/>
      <c r="L44" s="53"/>
    </row>
    <row r="45" spans="1:12" ht="13.8" customHeight="1" x14ac:dyDescent="0.3">
      <c r="A45" s="73" t="s">
        <v>279</v>
      </c>
      <c r="B45" s="60"/>
      <c r="C45" s="61"/>
      <c r="D45" s="100"/>
      <c r="E45" s="101"/>
      <c r="G45" s="72"/>
      <c r="H45" s="141" t="s">
        <v>275</v>
      </c>
      <c r="I45" s="56"/>
      <c r="J45" s="70"/>
      <c r="K45" s="97"/>
      <c r="L45" s="53"/>
    </row>
    <row r="46" spans="1:12" x14ac:dyDescent="0.3">
      <c r="A46" s="73"/>
      <c r="B46" s="60"/>
      <c r="C46" s="61"/>
      <c r="D46" s="100"/>
      <c r="E46" s="101"/>
      <c r="G46" s="72"/>
      <c r="H46" s="96"/>
      <c r="I46" s="56"/>
      <c r="J46" s="70"/>
      <c r="K46" s="97"/>
      <c r="L46" s="58"/>
    </row>
    <row r="47" spans="1:12" x14ac:dyDescent="0.3">
      <c r="D47" s="72"/>
      <c r="I47" s="72"/>
    </row>
    <row r="49" spans="1:12" s="46" customFormat="1" x14ac:dyDescent="0.3">
      <c r="B49" s="106" t="s">
        <v>235</v>
      </c>
      <c r="C49" s="138" t="s">
        <v>281</v>
      </c>
      <c r="D49" s="73"/>
      <c r="F49" s="106" t="s">
        <v>236</v>
      </c>
      <c r="G49" s="137" t="s">
        <v>285</v>
      </c>
      <c r="H49" s="53"/>
      <c r="J49" s="106" t="s">
        <v>237</v>
      </c>
      <c r="K49" s="137" t="s">
        <v>282</v>
      </c>
      <c r="L49" s="53"/>
    </row>
    <row r="50" spans="1:12" s="46" customFormat="1" x14ac:dyDescent="0.3">
      <c r="B50" s="106" t="s">
        <v>244</v>
      </c>
      <c r="C50" s="139" t="s">
        <v>284</v>
      </c>
      <c r="D50" s="74"/>
      <c r="F50" s="106" t="s">
        <v>238</v>
      </c>
      <c r="G50" s="139" t="s">
        <v>283</v>
      </c>
      <c r="H50" s="58"/>
      <c r="J50" s="106" t="s">
        <v>239</v>
      </c>
      <c r="K50" s="61"/>
      <c r="L50" s="58"/>
    </row>
    <row r="51" spans="1:12" s="46" customFormat="1" ht="17.399999999999999" x14ac:dyDescent="0.3">
      <c r="A51" s="49"/>
      <c r="B51" s="49"/>
      <c r="C51" s="49"/>
      <c r="D51" s="49"/>
      <c r="E51" s="49"/>
      <c r="F51" s="63" t="s">
        <v>77</v>
      </c>
      <c r="G51" s="49"/>
      <c r="H51" s="49"/>
      <c r="I51" s="49"/>
      <c r="J51" s="49"/>
      <c r="L51" s="49"/>
    </row>
    <row r="52" spans="1:12" s="46" customFormat="1" ht="9" customHeight="1" x14ac:dyDescent="0.3">
      <c r="A52" s="49"/>
      <c r="B52" s="49"/>
      <c r="C52" s="49"/>
      <c r="D52" s="49"/>
      <c r="E52" s="49"/>
      <c r="F52" s="49"/>
      <c r="G52" s="49"/>
      <c r="H52" s="49"/>
      <c r="I52" s="49"/>
      <c r="J52" s="49"/>
      <c r="L52" s="49"/>
    </row>
    <row r="53" spans="1:12" s="46" customFormat="1" x14ac:dyDescent="0.3">
      <c r="A53" s="72" t="s">
        <v>78</v>
      </c>
      <c r="B53" s="72"/>
      <c r="C53" s="67" t="s">
        <v>73</v>
      </c>
      <c r="D53" s="72" t="s">
        <v>79</v>
      </c>
      <c r="E53" s="67"/>
      <c r="F53" s="72"/>
      <c r="G53" s="72" t="s">
        <v>78</v>
      </c>
      <c r="H53" s="72"/>
      <c r="I53" s="67" t="s">
        <v>73</v>
      </c>
      <c r="J53" s="72" t="s">
        <v>79</v>
      </c>
      <c r="K53" s="67"/>
      <c r="L53" s="72"/>
    </row>
    <row r="54" spans="1:12" x14ac:dyDescent="0.3">
      <c r="A54" s="140" t="s">
        <v>286</v>
      </c>
      <c r="B54" s="92"/>
      <c r="C54" s="125">
        <v>1</v>
      </c>
      <c r="D54" s="92" t="s">
        <v>268</v>
      </c>
      <c r="E54" s="92"/>
      <c r="F54" s="127"/>
      <c r="G54" s="92"/>
      <c r="H54" s="92"/>
      <c r="I54" s="125"/>
      <c r="J54" s="92"/>
      <c r="K54" s="125"/>
      <c r="L54" s="92"/>
    </row>
    <row r="55" spans="1:12" x14ac:dyDescent="0.3">
      <c r="A55" s="91"/>
      <c r="B55" s="91"/>
      <c r="C55" s="126"/>
      <c r="D55" s="91"/>
      <c r="E55" s="91"/>
      <c r="F55" s="128"/>
      <c r="G55" s="91"/>
      <c r="H55" s="91"/>
      <c r="I55" s="126"/>
      <c r="J55" s="91"/>
      <c r="K55" s="126"/>
      <c r="L55" s="91"/>
    </row>
    <row r="56" spans="1:12" x14ac:dyDescent="0.3">
      <c r="A56" s="91"/>
      <c r="B56" s="91"/>
      <c r="C56" s="126"/>
      <c r="D56" s="91"/>
      <c r="E56" s="91"/>
      <c r="F56" s="128"/>
      <c r="G56" s="91"/>
      <c r="H56" s="91"/>
      <c r="I56" s="126"/>
      <c r="J56" s="91"/>
      <c r="K56" s="126"/>
      <c r="L56" s="91"/>
    </row>
    <row r="57" spans="1:12" x14ac:dyDescent="0.3">
      <c r="A57" s="91"/>
      <c r="B57" s="91"/>
      <c r="C57" s="126"/>
      <c r="D57" s="91"/>
      <c r="E57" s="91"/>
      <c r="F57" s="128"/>
      <c r="G57" s="91"/>
      <c r="H57" s="91"/>
      <c r="I57" s="126"/>
      <c r="J57" s="91"/>
      <c r="K57" s="126"/>
      <c r="L57" s="91"/>
    </row>
    <row r="60" spans="1:12" s="46" customFormat="1" ht="17.399999999999999" x14ac:dyDescent="0.3">
      <c r="A60" s="49"/>
      <c r="B60" s="49"/>
      <c r="C60" s="49"/>
      <c r="D60" s="49"/>
      <c r="E60" s="49"/>
      <c r="F60" s="63" t="s">
        <v>80</v>
      </c>
      <c r="G60" s="49"/>
      <c r="H60" s="49"/>
      <c r="I60" s="49"/>
      <c r="J60" s="49"/>
      <c r="L60" s="49"/>
    </row>
    <row r="61" spans="1:12" s="46" customFormat="1" ht="9" customHeight="1" x14ac:dyDescent="0.3">
      <c r="A61" s="49"/>
      <c r="B61" s="49"/>
      <c r="C61" s="49"/>
      <c r="D61" s="49"/>
      <c r="E61" s="49"/>
      <c r="F61" s="49"/>
      <c r="G61" s="49"/>
      <c r="H61" s="49"/>
      <c r="I61" s="49"/>
      <c r="J61" s="49"/>
      <c r="L61" s="49"/>
    </row>
    <row r="62" spans="1:12" s="46" customFormat="1" x14ac:dyDescent="0.3">
      <c r="A62" s="49" t="s">
        <v>81</v>
      </c>
      <c r="B62" s="49" t="s">
        <v>82</v>
      </c>
      <c r="C62" s="49" t="s">
        <v>61</v>
      </c>
      <c r="D62" s="49"/>
      <c r="E62" s="49"/>
      <c r="F62" s="49" t="s">
        <v>83</v>
      </c>
      <c r="G62" s="49"/>
      <c r="H62" s="49" t="s">
        <v>86</v>
      </c>
      <c r="I62" s="49" t="s">
        <v>85</v>
      </c>
      <c r="J62" s="49" t="s">
        <v>84</v>
      </c>
      <c r="K62" s="49" t="s">
        <v>87</v>
      </c>
      <c r="L62" s="49"/>
    </row>
    <row r="63" spans="1:12" x14ac:dyDescent="0.3">
      <c r="A63" s="53"/>
      <c r="B63" s="53"/>
      <c r="C63" s="53"/>
      <c r="D63" s="53"/>
      <c r="E63" s="53"/>
      <c r="F63" s="53"/>
      <c r="G63" s="53"/>
      <c r="H63" s="53"/>
      <c r="I63" s="53"/>
      <c r="J63" s="53"/>
      <c r="K63" s="70"/>
      <c r="L63" s="53"/>
    </row>
    <row r="64" spans="1:12" x14ac:dyDescent="0.3">
      <c r="A64" s="58"/>
      <c r="B64" s="58"/>
      <c r="C64" s="58"/>
      <c r="D64" s="58"/>
      <c r="E64" s="58"/>
      <c r="F64" s="58"/>
      <c r="G64" s="58"/>
      <c r="H64" s="58"/>
      <c r="I64" s="58"/>
      <c r="J64" s="58"/>
      <c r="K64" s="61"/>
      <c r="L64" s="58"/>
    </row>
    <row r="65" spans="1:12" x14ac:dyDescent="0.3">
      <c r="A65" s="58"/>
      <c r="B65" s="58"/>
      <c r="C65" s="58"/>
      <c r="D65" s="58"/>
      <c r="E65" s="58"/>
      <c r="F65" s="58"/>
      <c r="G65" s="58"/>
      <c r="H65" s="58"/>
      <c r="I65" s="58"/>
      <c r="J65" s="58"/>
      <c r="K65" s="61"/>
      <c r="L65" s="58"/>
    </row>
    <row r="66" spans="1:12" x14ac:dyDescent="0.3">
      <c r="A66" s="58"/>
      <c r="B66" s="58"/>
      <c r="C66" s="58"/>
      <c r="D66" s="58"/>
      <c r="E66" s="58"/>
      <c r="F66" s="58"/>
      <c r="G66" s="58"/>
      <c r="H66" s="58"/>
      <c r="I66" s="58"/>
      <c r="J66" s="58"/>
      <c r="K66" s="61"/>
      <c r="L66" s="58"/>
    </row>
    <row r="67" spans="1:12" x14ac:dyDescent="0.3">
      <c r="A67" s="58"/>
      <c r="B67" s="58"/>
      <c r="C67" s="58"/>
      <c r="D67" s="58"/>
      <c r="E67" s="58"/>
      <c r="F67" s="58"/>
      <c r="G67" s="58"/>
      <c r="H67" s="58"/>
      <c r="I67" s="58"/>
      <c r="J67" s="58"/>
      <c r="K67" s="61"/>
      <c r="L67" s="58"/>
    </row>
    <row r="68" spans="1:12" x14ac:dyDescent="0.3">
      <c r="A68" s="58"/>
      <c r="B68" s="58"/>
      <c r="C68" s="58"/>
      <c r="D68" s="58"/>
      <c r="E68" s="58"/>
      <c r="F68" s="58"/>
      <c r="G68" s="58"/>
      <c r="H68" s="58"/>
      <c r="I68" s="58"/>
      <c r="J68" s="58"/>
      <c r="K68" s="61"/>
      <c r="L68" s="58"/>
    </row>
    <row r="69" spans="1:12" x14ac:dyDescent="0.3">
      <c r="A69" s="58"/>
      <c r="B69" s="58"/>
      <c r="C69" s="58"/>
      <c r="D69" s="58"/>
      <c r="E69" s="58"/>
      <c r="F69" s="58"/>
      <c r="G69" s="58"/>
      <c r="H69" s="58"/>
      <c r="I69" s="58"/>
      <c r="J69" s="58"/>
      <c r="K69" s="61"/>
      <c r="L69"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4" spans="1:12" ht="17.399999999999999" x14ac:dyDescent="0.3">
      <c r="F74" s="63" t="s">
        <v>71</v>
      </c>
    </row>
    <row r="76" spans="1:12" x14ac:dyDescent="0.3">
      <c r="A76" s="77"/>
      <c r="B76" s="122"/>
      <c r="C76" s="77"/>
      <c r="D76" s="77"/>
      <c r="E76" s="77"/>
      <c r="F76" s="77"/>
      <c r="G76" s="77"/>
      <c r="H76" s="77"/>
      <c r="I76" s="77"/>
      <c r="J76" s="77"/>
      <c r="K76" s="123"/>
      <c r="L76" s="77"/>
    </row>
    <row r="77" spans="1:12" ht="13.8" customHeight="1" x14ac:dyDescent="0.3">
      <c r="A77" s="58"/>
      <c r="B77" s="58"/>
      <c r="C77" s="58"/>
      <c r="D77" s="58"/>
      <c r="E77" s="58"/>
      <c r="F77" s="58"/>
      <c r="G77" s="58"/>
      <c r="H77" s="58"/>
      <c r="I77" s="58"/>
      <c r="J77" s="58"/>
      <c r="K77" s="61"/>
      <c r="L77" s="58"/>
    </row>
    <row r="78" spans="1:12" x14ac:dyDescent="0.3">
      <c r="A78" s="58"/>
      <c r="B78" s="58"/>
      <c r="C78" s="58"/>
      <c r="D78" s="58"/>
      <c r="E78" s="58"/>
      <c r="F78" s="58"/>
      <c r="G78" s="58"/>
      <c r="H78" s="58"/>
      <c r="I78" s="58"/>
      <c r="J78" s="58"/>
      <c r="K78" s="61"/>
      <c r="L78" s="58"/>
    </row>
    <row r="79" spans="1:12" x14ac:dyDescent="0.3">
      <c r="A79" s="58"/>
      <c r="B79" s="58"/>
      <c r="C79" s="58"/>
      <c r="D79" s="58"/>
      <c r="E79" s="58"/>
      <c r="F79" s="58"/>
      <c r="G79" s="58"/>
      <c r="H79" s="58"/>
      <c r="I79" s="58"/>
      <c r="J79" s="58"/>
      <c r="K79" s="61"/>
      <c r="L79" s="58"/>
    </row>
    <row r="80" spans="1:12" x14ac:dyDescent="0.3">
      <c r="A80" s="58"/>
      <c r="B80" s="58"/>
      <c r="C80" s="58"/>
      <c r="D80" s="58"/>
      <c r="E80" s="58"/>
      <c r="F80" s="58"/>
      <c r="G80" s="58"/>
      <c r="H80" s="58"/>
      <c r="I80" s="58"/>
      <c r="J80" s="58"/>
      <c r="K80" s="61"/>
      <c r="L80" s="58"/>
    </row>
    <row r="83" spans="1:12" ht="17.399999999999999" x14ac:dyDescent="0.3">
      <c r="B83" s="63" t="s">
        <v>72</v>
      </c>
      <c r="F83" s="63" t="s">
        <v>234</v>
      </c>
      <c r="J83" s="75" t="s">
        <v>74</v>
      </c>
    </row>
    <row r="84" spans="1:12" x14ac:dyDescent="0.3">
      <c r="A84" s="55" t="s">
        <v>0</v>
      </c>
      <c r="B84" s="55" t="s">
        <v>73</v>
      </c>
      <c r="C84" s="55" t="s">
        <v>61</v>
      </c>
      <c r="E84" s="68"/>
      <c r="I84" s="115" t="s">
        <v>75</v>
      </c>
      <c r="J84" s="53"/>
      <c r="K84" s="53"/>
      <c r="L84" s="53"/>
    </row>
    <row r="85" spans="1:12" x14ac:dyDescent="0.3">
      <c r="A85" s="58"/>
      <c r="B85" s="58"/>
      <c r="C85" s="58"/>
      <c r="D85" s="59"/>
      <c r="E85" s="58"/>
      <c r="F85" s="58"/>
      <c r="G85" s="58"/>
      <c r="H85" s="59"/>
      <c r="I85" s="115" t="s">
        <v>76</v>
      </c>
      <c r="J85" s="53"/>
      <c r="K85" s="53"/>
      <c r="L85" s="53"/>
    </row>
    <row r="86" spans="1:12" x14ac:dyDescent="0.3">
      <c r="A86" s="58"/>
      <c r="B86" s="58"/>
      <c r="C86" s="58"/>
      <c r="D86" s="59"/>
      <c r="E86" s="58"/>
      <c r="F86" s="58"/>
      <c r="G86" s="58"/>
      <c r="H86" s="58"/>
      <c r="I86" s="68"/>
      <c r="J86" s="53"/>
      <c r="K86" s="53"/>
      <c r="L86" s="53"/>
    </row>
    <row r="87" spans="1:12" x14ac:dyDescent="0.3">
      <c r="A87" s="58"/>
      <c r="B87" s="58"/>
      <c r="C87" s="58"/>
      <c r="D87" s="59"/>
      <c r="E87" s="58"/>
      <c r="F87" s="58"/>
      <c r="G87" s="58"/>
      <c r="H87" s="58"/>
      <c r="I87" s="68"/>
      <c r="J87" s="53"/>
      <c r="K87" s="53"/>
      <c r="L87" s="53"/>
    </row>
    <row r="88" spans="1:12" x14ac:dyDescent="0.3">
      <c r="A88" s="58"/>
      <c r="B88" s="58"/>
      <c r="C88" s="58"/>
      <c r="D88" s="59"/>
      <c r="E88" s="58"/>
      <c r="F88" s="58"/>
      <c r="G88" s="58"/>
      <c r="H88" s="58"/>
      <c r="I88" s="68"/>
      <c r="J88" s="53"/>
      <c r="K88" s="53"/>
      <c r="L88" s="53"/>
    </row>
    <row r="89" spans="1:12" x14ac:dyDescent="0.3">
      <c r="A89" s="58"/>
      <c r="B89" s="58"/>
      <c r="C89" s="58"/>
      <c r="D89" s="59"/>
      <c r="E89" s="58"/>
      <c r="F89" s="58"/>
      <c r="G89" s="58"/>
      <c r="H89" s="58"/>
      <c r="I89" s="68"/>
      <c r="J89" s="53"/>
      <c r="K89" s="53"/>
      <c r="L89" s="53"/>
    </row>
    <row r="90" spans="1:12" x14ac:dyDescent="0.3">
      <c r="A90" s="58"/>
      <c r="B90" s="58"/>
      <c r="C90" s="58"/>
      <c r="D90" s="59"/>
      <c r="E90" s="58"/>
      <c r="F90" s="58"/>
      <c r="G90" s="58"/>
      <c r="H90" s="58"/>
      <c r="I90" s="68"/>
      <c r="J90" s="53"/>
      <c r="K90" s="53"/>
      <c r="L90" s="53"/>
    </row>
    <row r="93" spans="1:12" x14ac:dyDescent="0.3">
      <c r="A93" s="49" t="s">
        <v>88</v>
      </c>
      <c r="B93" s="49" t="s">
        <v>89</v>
      </c>
      <c r="C93" s="49" t="s">
        <v>90</v>
      </c>
      <c r="D93" s="49" t="s">
        <v>91</v>
      </c>
      <c r="E93" s="49" t="s">
        <v>92</v>
      </c>
      <c r="F93" s="49" t="s">
        <v>93</v>
      </c>
      <c r="I93" s="49" t="s">
        <v>94</v>
      </c>
    </row>
    <row r="94" spans="1:12" x14ac:dyDescent="0.3">
      <c r="A94" s="58"/>
      <c r="B94" s="58"/>
      <c r="C94" s="58"/>
      <c r="D94" s="58"/>
      <c r="E94" s="58"/>
      <c r="F94" s="58"/>
      <c r="G94" s="58"/>
      <c r="I94" s="58"/>
      <c r="J94" s="58"/>
      <c r="K94" s="58"/>
      <c r="L94" s="58"/>
    </row>
    <row r="95" spans="1:12" x14ac:dyDescent="0.3">
      <c r="A95" s="58"/>
      <c r="B95" s="58"/>
      <c r="C95" s="58"/>
      <c r="D95" s="58"/>
      <c r="E95" s="58"/>
      <c r="F95" s="58"/>
      <c r="G95" s="58"/>
      <c r="I95" s="53"/>
      <c r="J95" s="53"/>
      <c r="K95" s="53"/>
      <c r="L95" s="53"/>
    </row>
    <row r="96" spans="1:12" x14ac:dyDescent="0.3">
      <c r="A96" s="58"/>
      <c r="B96" s="58"/>
      <c r="C96" s="58"/>
      <c r="D96" s="58"/>
      <c r="E96" s="58"/>
      <c r="F96" s="58"/>
      <c r="G96" s="58"/>
      <c r="I96" s="53"/>
      <c r="J96" s="53"/>
      <c r="K96" s="53"/>
      <c r="L96" s="53"/>
    </row>
    <row r="97" spans="1:12" x14ac:dyDescent="0.3">
      <c r="A97" s="58"/>
      <c r="B97" s="58"/>
      <c r="C97" s="58"/>
      <c r="D97" s="58"/>
      <c r="E97" s="58"/>
      <c r="F97" s="58"/>
      <c r="G97" s="58"/>
      <c r="I97" s="53"/>
      <c r="J97" s="53"/>
      <c r="K97" s="53"/>
      <c r="L97" s="53"/>
    </row>
    <row r="98" spans="1:12" x14ac:dyDescent="0.3">
      <c r="A98" s="58"/>
      <c r="B98" s="58"/>
      <c r="C98" s="58"/>
      <c r="D98" s="58"/>
      <c r="E98" s="58"/>
      <c r="F98" s="58"/>
      <c r="G98" s="58"/>
      <c r="I98" s="53"/>
      <c r="J98" s="53"/>
      <c r="K98" s="53"/>
      <c r="L98" s="53"/>
    </row>
    <row r="99" spans="1:12" x14ac:dyDescent="0.3">
      <c r="A99" s="58"/>
      <c r="B99" s="58"/>
      <c r="C99" s="58"/>
      <c r="D99" s="58"/>
      <c r="E99" s="58"/>
      <c r="F99" s="58"/>
      <c r="G99" s="58"/>
      <c r="I99" s="53"/>
      <c r="J99" s="53"/>
      <c r="K99" s="53"/>
      <c r="L99" s="53"/>
    </row>
    <row r="100" spans="1:12" x14ac:dyDescent="0.3">
      <c r="A100" s="58"/>
      <c r="B100" s="58"/>
      <c r="C100" s="58"/>
      <c r="D100" s="58"/>
      <c r="E100" s="58"/>
      <c r="F100" s="58"/>
      <c r="G100" s="58"/>
      <c r="I100" s="53"/>
      <c r="J100" s="53"/>
      <c r="K100" s="53"/>
      <c r="L100" s="53"/>
    </row>
    <row r="101" spans="1:12" ht="17.399999999999999" x14ac:dyDescent="0.3">
      <c r="F101" s="75" t="s">
        <v>55</v>
      </c>
    </row>
    <row r="102" spans="1:12" x14ac:dyDescent="0.3">
      <c r="A102" s="55" t="s">
        <v>0</v>
      </c>
      <c r="B102" s="84" t="s">
        <v>60</v>
      </c>
      <c r="C102" s="55" t="s">
        <v>104</v>
      </c>
      <c r="D102" s="55"/>
      <c r="E102" s="55"/>
      <c r="F102" s="55"/>
      <c r="G102" s="55" t="s">
        <v>0</v>
      </c>
      <c r="H102" s="84" t="s">
        <v>60</v>
      </c>
      <c r="I102" s="55" t="s">
        <v>104</v>
      </c>
      <c r="J102" s="55"/>
      <c r="K102" s="84"/>
    </row>
    <row r="103" spans="1:12" x14ac:dyDescent="0.3">
      <c r="A103" s="114" t="s">
        <v>96</v>
      </c>
      <c r="B103" s="76"/>
      <c r="C103" s="77"/>
      <c r="D103" s="77"/>
      <c r="E103" s="77"/>
      <c r="F103" s="78"/>
      <c r="G103" s="87"/>
      <c r="H103" s="77"/>
      <c r="I103" s="77"/>
      <c r="J103" s="77"/>
      <c r="K103" s="77"/>
      <c r="L103" s="79"/>
    </row>
    <row r="104" spans="1:12" x14ac:dyDescent="0.3">
      <c r="A104" s="115" t="s">
        <v>95</v>
      </c>
      <c r="B104" s="86"/>
      <c r="C104" s="58"/>
      <c r="D104" s="58"/>
      <c r="E104" s="58"/>
      <c r="F104" s="59"/>
      <c r="G104" s="88"/>
      <c r="H104" s="58"/>
      <c r="I104" s="58"/>
      <c r="J104" s="58"/>
      <c r="K104" s="58"/>
      <c r="L104" s="85"/>
    </row>
    <row r="105" spans="1:12" x14ac:dyDescent="0.3">
      <c r="A105" s="115" t="s">
        <v>97</v>
      </c>
      <c r="B105" s="68"/>
      <c r="F105" s="66"/>
      <c r="G105" s="89"/>
      <c r="K105" s="49"/>
      <c r="L105" s="80"/>
    </row>
    <row r="106" spans="1:12" x14ac:dyDescent="0.3">
      <c r="A106" s="115" t="s">
        <v>100</v>
      </c>
      <c r="B106" s="86"/>
      <c r="C106" s="58"/>
      <c r="D106" s="58"/>
      <c r="E106" s="58"/>
      <c r="F106" s="59"/>
      <c r="G106" s="88"/>
      <c r="H106" s="58"/>
      <c r="I106" s="58"/>
      <c r="J106" s="58"/>
      <c r="K106" s="58"/>
      <c r="L106" s="85"/>
    </row>
    <row r="107" spans="1:12" x14ac:dyDescent="0.3">
      <c r="A107" s="116" t="s">
        <v>101</v>
      </c>
      <c r="B107" s="83">
        <v>2</v>
      </c>
      <c r="C107" s="73" t="s">
        <v>267</v>
      </c>
      <c r="D107" s="53"/>
      <c r="E107" s="53"/>
      <c r="F107" s="54"/>
      <c r="G107" s="90"/>
      <c r="H107" s="53"/>
      <c r="I107" s="53"/>
      <c r="J107" s="53"/>
      <c r="K107" s="53"/>
      <c r="L107" s="81"/>
    </row>
    <row r="109" spans="1:12" x14ac:dyDescent="0.3">
      <c r="A109" s="55" t="s">
        <v>0</v>
      </c>
      <c r="B109" s="84" t="s">
        <v>60</v>
      </c>
      <c r="C109" s="55" t="s">
        <v>104</v>
      </c>
      <c r="D109" s="55"/>
      <c r="E109" s="55"/>
      <c r="F109" s="55"/>
      <c r="G109" s="55" t="s">
        <v>0</v>
      </c>
      <c r="H109" s="84" t="s">
        <v>60</v>
      </c>
      <c r="I109" s="55" t="s">
        <v>104</v>
      </c>
    </row>
    <row r="110" spans="1:12" x14ac:dyDescent="0.3">
      <c r="A110" s="114" t="s">
        <v>99</v>
      </c>
      <c r="B110" s="76"/>
      <c r="C110" s="77"/>
      <c r="D110" s="77"/>
      <c r="E110" s="77"/>
      <c r="F110" s="77"/>
      <c r="G110" s="87"/>
      <c r="H110" s="77"/>
      <c r="I110" s="77"/>
      <c r="J110" s="77"/>
      <c r="K110" s="77"/>
      <c r="L110" s="79"/>
    </row>
    <row r="111" spans="1:12" x14ac:dyDescent="0.3">
      <c r="A111" s="115" t="s">
        <v>103</v>
      </c>
      <c r="B111" s="86"/>
      <c r="C111" s="58"/>
      <c r="D111" s="58"/>
      <c r="E111" s="58"/>
      <c r="F111" s="58"/>
      <c r="G111" s="88"/>
      <c r="H111" s="58"/>
      <c r="I111" s="58"/>
      <c r="J111" s="58"/>
      <c r="K111" s="61"/>
      <c r="L111" s="85"/>
    </row>
    <row r="112" spans="1:12" x14ac:dyDescent="0.3">
      <c r="A112" s="116" t="s">
        <v>102</v>
      </c>
      <c r="B112" s="69"/>
      <c r="C112" s="53"/>
      <c r="D112" s="53"/>
      <c r="E112" s="53"/>
      <c r="F112" s="53"/>
      <c r="G112" s="90"/>
      <c r="H112" s="53"/>
      <c r="I112" s="53"/>
      <c r="J112" s="53"/>
      <c r="K112" s="53"/>
      <c r="L112" s="81"/>
    </row>
    <row r="113" spans="1:12" x14ac:dyDescent="0.3">
      <c r="K113" s="49"/>
      <c r="L113" s="46"/>
    </row>
    <row r="114" spans="1:12" x14ac:dyDescent="0.3">
      <c r="A114" s="114" t="s">
        <v>105</v>
      </c>
      <c r="B114" s="77"/>
      <c r="C114" s="74" t="s">
        <v>256</v>
      </c>
      <c r="D114" s="58"/>
      <c r="E114" s="58"/>
      <c r="F114" s="58"/>
      <c r="G114" s="58"/>
      <c r="H114" s="58"/>
      <c r="I114" s="58"/>
      <c r="J114" s="58"/>
      <c r="K114" s="58"/>
      <c r="L114" s="85"/>
    </row>
    <row r="115" spans="1:12" x14ac:dyDescent="0.3">
      <c r="A115" s="115" t="s">
        <v>106</v>
      </c>
      <c r="C115" s="74" t="s">
        <v>265</v>
      </c>
      <c r="D115" s="58"/>
      <c r="E115" s="58"/>
      <c r="F115" s="58"/>
      <c r="G115" s="58"/>
      <c r="H115" s="58"/>
      <c r="I115" s="58"/>
      <c r="J115" s="58"/>
      <c r="K115" s="58"/>
      <c r="L115" s="85"/>
    </row>
    <row r="116" spans="1:12" x14ac:dyDescent="0.3">
      <c r="A116" s="115" t="s">
        <v>98</v>
      </c>
      <c r="C116" s="74" t="s">
        <v>266</v>
      </c>
      <c r="D116" s="58"/>
      <c r="E116" s="58"/>
      <c r="F116" s="58"/>
      <c r="G116" s="58"/>
      <c r="H116" s="58"/>
      <c r="I116" s="58"/>
      <c r="J116" s="58"/>
      <c r="K116" s="58"/>
      <c r="L116" s="85"/>
    </row>
    <row r="117" spans="1:12" x14ac:dyDescent="0.3">
      <c r="A117" s="115" t="s">
        <v>107</v>
      </c>
      <c r="C117" s="74"/>
      <c r="D117" s="58"/>
      <c r="E117" s="58"/>
      <c r="F117" s="58"/>
      <c r="G117" s="58"/>
      <c r="H117" s="58"/>
      <c r="I117" s="58"/>
      <c r="J117" s="58"/>
      <c r="K117" s="58"/>
      <c r="L117" s="85"/>
    </row>
    <row r="118" spans="1:12" x14ac:dyDescent="0.3">
      <c r="A118" s="116" t="s">
        <v>108</v>
      </c>
      <c r="B118" s="53"/>
      <c r="C118" s="74"/>
      <c r="D118" s="58"/>
      <c r="E118" s="58"/>
      <c r="F118" s="58"/>
      <c r="G118" s="58"/>
      <c r="H118" s="58"/>
      <c r="I118" s="58"/>
      <c r="J118" s="58"/>
      <c r="K118" s="58"/>
      <c r="L118" s="85"/>
    </row>
    <row r="120" spans="1:12" x14ac:dyDescent="0.3">
      <c r="A120" s="55" t="s">
        <v>110</v>
      </c>
      <c r="B120" s="55"/>
      <c r="C120" s="55" t="s">
        <v>109</v>
      </c>
      <c r="E120" s="55" t="s">
        <v>61</v>
      </c>
    </row>
    <row r="121" spans="1:12" x14ac:dyDescent="0.3">
      <c r="A121" s="114" t="s">
        <v>259</v>
      </c>
      <c r="B121" s="77"/>
      <c r="C121" s="120" t="s">
        <v>260</v>
      </c>
      <c r="D121" s="77"/>
      <c r="E121" s="120" t="s">
        <v>261</v>
      </c>
      <c r="F121" s="77"/>
      <c r="G121" s="77"/>
      <c r="H121" s="77"/>
      <c r="I121" s="77"/>
      <c r="J121" s="77"/>
      <c r="K121" s="77"/>
      <c r="L121" s="79"/>
    </row>
    <row r="122" spans="1:12" x14ac:dyDescent="0.3">
      <c r="A122" s="114" t="s">
        <v>262</v>
      </c>
      <c r="B122" s="77"/>
      <c r="C122" s="120" t="s">
        <v>263</v>
      </c>
      <c r="D122" s="77"/>
      <c r="E122" s="120" t="s">
        <v>264</v>
      </c>
      <c r="F122" s="77"/>
      <c r="G122" s="77"/>
      <c r="H122" s="77"/>
      <c r="I122" s="77"/>
      <c r="J122" s="77"/>
      <c r="K122" s="77"/>
      <c r="L122" s="79"/>
    </row>
    <row r="123" spans="1:12" x14ac:dyDescent="0.3">
      <c r="A123" s="86"/>
      <c r="B123" s="58"/>
      <c r="C123" s="58"/>
      <c r="D123" s="58"/>
      <c r="E123" s="58"/>
      <c r="F123" s="58"/>
      <c r="G123" s="58"/>
      <c r="H123" s="58"/>
      <c r="I123" s="58"/>
      <c r="J123" s="58"/>
      <c r="K123" s="58"/>
      <c r="L123" s="85"/>
    </row>
    <row r="124" spans="1:12" x14ac:dyDescent="0.3">
      <c r="A124" s="69"/>
      <c r="B124" s="53"/>
      <c r="C124" s="53"/>
      <c r="D124" s="53"/>
      <c r="E124" s="53"/>
      <c r="F124" s="53"/>
      <c r="G124" s="53"/>
      <c r="H124" s="53"/>
      <c r="I124" s="53"/>
      <c r="J124" s="53"/>
      <c r="K124" s="53"/>
      <c r="L124" s="81"/>
    </row>
    <row r="126" spans="1:12" ht="17.399999999999999" x14ac:dyDescent="0.3">
      <c r="B126" s="75" t="s">
        <v>17</v>
      </c>
      <c r="F126" s="75" t="s">
        <v>123</v>
      </c>
      <c r="J126" s="75"/>
    </row>
    <row r="127" spans="1:12" x14ac:dyDescent="0.3">
      <c r="E127" s="72" t="s">
        <v>0</v>
      </c>
      <c r="F127" s="72" t="s">
        <v>4</v>
      </c>
      <c r="G127" s="72" t="s">
        <v>250</v>
      </c>
    </row>
    <row r="128" spans="1:12" x14ac:dyDescent="0.3">
      <c r="A128" s="114" t="s">
        <v>113</v>
      </c>
      <c r="B128" s="120">
        <v>41</v>
      </c>
      <c r="C128" s="117"/>
      <c r="E128" s="111"/>
      <c r="F128" s="107"/>
      <c r="G128" s="107"/>
      <c r="H128" s="107"/>
      <c r="I128" s="107"/>
      <c r="J128" s="107"/>
      <c r="K128" s="107"/>
      <c r="L128" s="108"/>
    </row>
    <row r="129" spans="1:12" x14ac:dyDescent="0.3">
      <c r="A129" s="115" t="s">
        <v>112</v>
      </c>
      <c r="B129" s="72">
        <v>150</v>
      </c>
      <c r="C129" s="118"/>
      <c r="E129" s="112" t="s">
        <v>245</v>
      </c>
      <c r="F129" s="55" t="s">
        <v>246</v>
      </c>
      <c r="G129" s="55"/>
      <c r="H129" s="55"/>
      <c r="I129" s="55"/>
      <c r="J129" s="55"/>
      <c r="K129" s="55"/>
      <c r="L129" s="109"/>
    </row>
    <row r="130" spans="1:12" x14ac:dyDescent="0.3">
      <c r="A130" s="115" t="s">
        <v>114</v>
      </c>
      <c r="B130" s="72"/>
      <c r="C130" s="118"/>
      <c r="E130" s="112" t="s">
        <v>247</v>
      </c>
      <c r="F130" s="55" t="s">
        <v>248</v>
      </c>
      <c r="G130" s="55"/>
      <c r="H130" s="55"/>
      <c r="I130" s="55"/>
      <c r="J130" s="55"/>
      <c r="K130" s="55"/>
      <c r="L130" s="109"/>
    </row>
    <row r="131" spans="1:12" x14ac:dyDescent="0.3">
      <c r="A131" s="115" t="s">
        <v>115</v>
      </c>
      <c r="B131" s="72"/>
      <c r="C131" s="118"/>
      <c r="E131" s="112"/>
      <c r="F131" s="55" t="s">
        <v>249</v>
      </c>
      <c r="G131" s="55"/>
      <c r="H131" s="55"/>
      <c r="I131" s="55"/>
      <c r="J131" s="55"/>
      <c r="K131" s="55"/>
      <c r="L131" s="109"/>
    </row>
    <row r="132" spans="1:12" x14ac:dyDescent="0.3">
      <c r="A132" s="115" t="s">
        <v>116</v>
      </c>
      <c r="B132" s="106" t="s">
        <v>251</v>
      </c>
      <c r="C132" s="118"/>
      <c r="E132" s="112"/>
      <c r="F132" s="55"/>
      <c r="G132" s="55"/>
      <c r="H132" s="55"/>
      <c r="I132" s="55"/>
      <c r="J132" s="55"/>
      <c r="K132" s="55"/>
      <c r="L132" s="109"/>
    </row>
    <row r="133" spans="1:12" x14ac:dyDescent="0.3">
      <c r="A133" s="115" t="s">
        <v>117</v>
      </c>
      <c r="B133" s="106" t="s">
        <v>251</v>
      </c>
      <c r="C133" s="118"/>
      <c r="E133" s="112"/>
      <c r="F133" s="55"/>
      <c r="G133" s="55"/>
      <c r="H133" s="55"/>
      <c r="I133" s="55"/>
      <c r="J133" s="55"/>
      <c r="K133" s="55"/>
      <c r="L133" s="109"/>
    </row>
    <row r="134" spans="1:12" x14ac:dyDescent="0.3">
      <c r="A134" s="115" t="s">
        <v>118</v>
      </c>
      <c r="B134" s="106" t="s">
        <v>252</v>
      </c>
      <c r="C134" s="118"/>
      <c r="E134" s="112"/>
      <c r="F134" s="55"/>
      <c r="G134" s="55"/>
      <c r="H134" s="55"/>
      <c r="I134" s="55"/>
      <c r="J134" s="55"/>
      <c r="K134" s="55"/>
      <c r="L134" s="109"/>
    </row>
    <row r="135" spans="1:12" x14ac:dyDescent="0.3">
      <c r="A135" s="115" t="s">
        <v>119</v>
      </c>
      <c r="B135" s="106" t="s">
        <v>253</v>
      </c>
      <c r="C135" s="118"/>
      <c r="E135" s="112"/>
      <c r="F135" s="55"/>
      <c r="G135" s="55"/>
      <c r="H135" s="55"/>
      <c r="I135" s="55"/>
      <c r="J135" s="55"/>
      <c r="K135" s="55"/>
      <c r="L135" s="109"/>
    </row>
    <row r="136" spans="1:12" x14ac:dyDescent="0.3">
      <c r="A136" s="115" t="s">
        <v>120</v>
      </c>
      <c r="B136" s="106">
        <v>1.91</v>
      </c>
      <c r="C136" s="118"/>
      <c r="E136" s="112"/>
      <c r="F136" s="55"/>
      <c r="G136" s="55"/>
      <c r="H136" s="55"/>
      <c r="I136" s="55"/>
      <c r="J136" s="55"/>
      <c r="K136" s="55"/>
      <c r="L136" s="109"/>
    </row>
    <row r="137" spans="1:12" x14ac:dyDescent="0.3">
      <c r="A137" s="115" t="s">
        <v>121</v>
      </c>
      <c r="B137" s="106" t="s">
        <v>254</v>
      </c>
      <c r="C137" s="118"/>
      <c r="E137" s="112"/>
      <c r="F137" s="55"/>
      <c r="G137" s="55"/>
      <c r="H137" s="55"/>
      <c r="I137" s="55"/>
      <c r="J137" s="55"/>
      <c r="K137" s="55"/>
      <c r="L137" s="109"/>
    </row>
    <row r="138" spans="1:12" x14ac:dyDescent="0.3">
      <c r="A138" s="116" t="s">
        <v>122</v>
      </c>
      <c r="B138" s="121" t="s">
        <v>255</v>
      </c>
      <c r="C138" s="119"/>
      <c r="E138" s="113"/>
      <c r="F138" s="92"/>
      <c r="G138" s="92"/>
      <c r="H138" s="92"/>
      <c r="I138" s="92"/>
      <c r="J138" s="92"/>
      <c r="K138" s="92"/>
      <c r="L138" s="110"/>
    </row>
    <row r="141" spans="1:12" x14ac:dyDescent="0.3">
      <c r="A141" s="82" t="s">
        <v>240</v>
      </c>
    </row>
    <row r="142" spans="1:12" x14ac:dyDescent="0.3">
      <c r="A142" s="212" t="s">
        <v>287</v>
      </c>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4" spans="1:12" x14ac:dyDescent="0.3">
      <c r="A144" s="212"/>
      <c r="B144" s="212"/>
      <c r="C144" s="212"/>
      <c r="D144" s="212"/>
      <c r="E144" s="212"/>
      <c r="F144" s="212"/>
      <c r="G144" s="212"/>
      <c r="H144" s="212"/>
      <c r="I144" s="212"/>
      <c r="J144" s="212"/>
      <c r="K144" s="212"/>
    </row>
    <row r="146" spans="1:11" x14ac:dyDescent="0.3">
      <c r="A146" s="82" t="s">
        <v>6</v>
      </c>
    </row>
    <row r="147" spans="1:11" x14ac:dyDescent="0.3">
      <c r="A147" s="212" t="s">
        <v>288</v>
      </c>
      <c r="B147" s="212"/>
      <c r="C147" s="212"/>
      <c r="D147" s="212"/>
      <c r="E147" s="212"/>
      <c r="F147" s="212"/>
      <c r="G147" s="212"/>
      <c r="H147" s="212"/>
      <c r="I147" s="212"/>
      <c r="J147" s="212"/>
      <c r="K147" s="212"/>
    </row>
    <row r="148" spans="1:11" x14ac:dyDescent="0.3">
      <c r="A148" s="212"/>
      <c r="B148" s="212"/>
      <c r="C148" s="212"/>
      <c r="D148" s="212"/>
      <c r="E148" s="212"/>
      <c r="F148" s="212"/>
      <c r="G148" s="212"/>
      <c r="H148" s="212"/>
      <c r="I148" s="212"/>
      <c r="J148" s="212"/>
      <c r="K148" s="212"/>
    </row>
    <row r="149" spans="1:11" x14ac:dyDescent="0.3">
      <c r="A149" s="212"/>
      <c r="B149" s="212"/>
      <c r="C149" s="212"/>
      <c r="D149" s="212"/>
      <c r="E149" s="212"/>
      <c r="F149" s="212"/>
      <c r="G149" s="212"/>
      <c r="H149" s="212"/>
      <c r="I149" s="212"/>
      <c r="J149" s="212"/>
      <c r="K149" s="212"/>
    </row>
    <row r="150" spans="1:11" ht="17.399999999999999" x14ac:dyDescent="0.3">
      <c r="F150" s="63" t="s">
        <v>111</v>
      </c>
    </row>
  </sheetData>
  <mergeCells count="2">
    <mergeCell ref="A142:K144"/>
    <mergeCell ref="A147:K149"/>
  </mergeCells>
  <pageMargins left="0.25" right="0.25"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zoomScale="170" zoomScaleNormal="170" workbookViewId="0">
      <selection activeCell="A102" sqref="A10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64" t="s">
        <v>128</v>
      </c>
    </row>
    <row r="3" spans="1:12" x14ac:dyDescent="0.3">
      <c r="A3" s="147" t="s">
        <v>0</v>
      </c>
      <c r="B3" s="49" t="s">
        <v>289</v>
      </c>
      <c r="E3" s="147" t="s">
        <v>2</v>
      </c>
      <c r="F3" s="143" t="s">
        <v>292</v>
      </c>
      <c r="H3" s="47" t="s">
        <v>293</v>
      </c>
      <c r="K3" s="49"/>
    </row>
    <row r="4" spans="1:12" x14ac:dyDescent="0.3">
      <c r="A4" s="147" t="s">
        <v>204</v>
      </c>
      <c r="B4" s="49" t="s">
        <v>125</v>
      </c>
      <c r="E4" s="147" t="s">
        <v>3</v>
      </c>
      <c r="F4" s="143" t="s">
        <v>291</v>
      </c>
      <c r="H4" s="47" t="s">
        <v>294</v>
      </c>
    </row>
    <row r="5" spans="1:12" x14ac:dyDescent="0.3">
      <c r="A5" s="147" t="s">
        <v>4</v>
      </c>
      <c r="B5" s="143" t="s">
        <v>290</v>
      </c>
      <c r="E5" s="147" t="s">
        <v>69</v>
      </c>
      <c r="F5" s="49" t="s">
        <v>126</v>
      </c>
      <c r="H5" s="47"/>
    </row>
    <row r="7" spans="1:12" x14ac:dyDescent="0.3">
      <c r="F7" s="64" t="s">
        <v>7</v>
      </c>
    </row>
    <row r="8" spans="1:12" ht="13.8" customHeight="1" x14ac:dyDescent="0.3">
      <c r="B8" s="64" t="s">
        <v>8</v>
      </c>
      <c r="C8" s="65"/>
      <c r="D8" s="65"/>
      <c r="E8" s="65"/>
      <c r="F8" s="64" t="s">
        <v>9</v>
      </c>
      <c r="G8" s="65"/>
      <c r="H8" s="65"/>
      <c r="I8" s="65"/>
      <c r="J8" s="64" t="s">
        <v>10</v>
      </c>
    </row>
    <row r="9" spans="1:12" x14ac:dyDescent="0.3">
      <c r="A9" s="156" t="s">
        <v>11</v>
      </c>
      <c r="B9" s="55" t="s">
        <v>295</v>
      </c>
      <c r="D9" s="155">
        <v>4</v>
      </c>
      <c r="E9" s="156" t="s">
        <v>12</v>
      </c>
      <c r="H9" s="154">
        <v>2</v>
      </c>
      <c r="I9" s="156" t="s">
        <v>13</v>
      </c>
      <c r="L9" s="154">
        <v>3</v>
      </c>
    </row>
    <row r="10" spans="1:12" x14ac:dyDescent="0.3">
      <c r="A10" s="156" t="s">
        <v>14</v>
      </c>
      <c r="D10" s="154">
        <v>2</v>
      </c>
      <c r="E10" s="156" t="s">
        <v>16</v>
      </c>
      <c r="H10" s="154">
        <v>3</v>
      </c>
      <c r="I10" s="156" t="s">
        <v>18</v>
      </c>
      <c r="L10" s="154">
        <v>3</v>
      </c>
    </row>
    <row r="11" spans="1:12" x14ac:dyDescent="0.3">
      <c r="A11" s="156" t="s">
        <v>15</v>
      </c>
      <c r="D11" s="154">
        <v>2</v>
      </c>
      <c r="E11" s="156" t="s">
        <v>17</v>
      </c>
      <c r="H11" s="154">
        <v>1</v>
      </c>
      <c r="I11" s="156" t="s">
        <v>19</v>
      </c>
      <c r="J11" s="55" t="s">
        <v>296</v>
      </c>
      <c r="L11" s="155">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D16" s="154">
        <v>2</v>
      </c>
      <c r="E16" s="145" t="s">
        <v>299</v>
      </c>
      <c r="G16" s="46"/>
      <c r="H16" s="154">
        <v>0</v>
      </c>
      <c r="I16" s="145" t="s">
        <v>31</v>
      </c>
      <c r="L16" s="154">
        <v>0</v>
      </c>
    </row>
    <row r="17" spans="1:12" x14ac:dyDescent="0.3">
      <c r="A17" s="145" t="s">
        <v>32</v>
      </c>
      <c r="D17" s="154">
        <v>2</v>
      </c>
      <c r="E17" s="145" t="s">
        <v>33</v>
      </c>
      <c r="G17" s="46"/>
      <c r="H17" s="154">
        <v>0</v>
      </c>
      <c r="I17" s="145" t="s">
        <v>34</v>
      </c>
      <c r="L17" s="154">
        <v>2</v>
      </c>
    </row>
    <row r="18" spans="1:12" x14ac:dyDescent="0.3">
      <c r="A18" s="145" t="s">
        <v>297</v>
      </c>
      <c r="D18" s="154">
        <v>0</v>
      </c>
      <c r="E18" s="145" t="s">
        <v>298</v>
      </c>
      <c r="G18" s="46"/>
      <c r="H18" s="154">
        <v>0</v>
      </c>
      <c r="I18" s="145" t="s">
        <v>36</v>
      </c>
      <c r="L18" s="154">
        <v>0</v>
      </c>
    </row>
    <row r="19" spans="1:12" x14ac:dyDescent="0.3">
      <c r="A19" s="145" t="s">
        <v>26</v>
      </c>
      <c r="D19" s="154">
        <v>1</v>
      </c>
      <c r="E19" s="145" t="s">
        <v>38</v>
      </c>
      <c r="G19" s="46"/>
      <c r="H19" s="154">
        <v>1</v>
      </c>
      <c r="I19" s="145" t="s">
        <v>45</v>
      </c>
      <c r="L19" s="154">
        <v>1</v>
      </c>
    </row>
    <row r="20" spans="1:12" x14ac:dyDescent="0.3">
      <c r="A20" s="145" t="s">
        <v>27</v>
      </c>
      <c r="D20" s="154">
        <v>0</v>
      </c>
      <c r="E20" s="145" t="s">
        <v>39</v>
      </c>
      <c r="G20" s="46"/>
      <c r="H20" s="154">
        <v>0</v>
      </c>
      <c r="I20" s="145" t="s">
        <v>46</v>
      </c>
      <c r="L20" s="154">
        <v>0</v>
      </c>
    </row>
    <row r="21" spans="1:12" x14ac:dyDescent="0.3">
      <c r="A21" s="145" t="s">
        <v>28</v>
      </c>
      <c r="D21" s="154">
        <v>2</v>
      </c>
      <c r="E21" s="145" t="s">
        <v>40</v>
      </c>
      <c r="G21" s="46"/>
      <c r="H21" s="154">
        <v>1</v>
      </c>
      <c r="I21" s="145" t="s">
        <v>47</v>
      </c>
      <c r="L21" s="154">
        <v>0</v>
      </c>
    </row>
    <row r="22" spans="1:12" x14ac:dyDescent="0.3">
      <c r="A22" s="145" t="s">
        <v>24</v>
      </c>
      <c r="B22" s="72" t="s">
        <v>300</v>
      </c>
      <c r="D22" s="155">
        <v>4</v>
      </c>
      <c r="E22" s="145" t="s">
        <v>41</v>
      </c>
      <c r="G22" s="46"/>
      <c r="H22" s="154">
        <v>0</v>
      </c>
      <c r="I22" s="145" t="s">
        <v>48</v>
      </c>
      <c r="L22" s="154">
        <v>3</v>
      </c>
    </row>
    <row r="23" spans="1:12" x14ac:dyDescent="0.3">
      <c r="A23" s="145" t="s">
        <v>407</v>
      </c>
      <c r="D23" s="154">
        <v>2</v>
      </c>
      <c r="E23" s="145" t="s">
        <v>42</v>
      </c>
      <c r="G23" s="46"/>
      <c r="H23" s="154">
        <v>2</v>
      </c>
      <c r="I23" s="145" t="s">
        <v>49</v>
      </c>
      <c r="L23" s="154">
        <v>2</v>
      </c>
    </row>
    <row r="24" spans="1:12" x14ac:dyDescent="0.3">
      <c r="A24" s="145" t="s">
        <v>219</v>
      </c>
      <c r="D24" s="154">
        <v>1</v>
      </c>
      <c r="E24" s="145" t="s">
        <v>43</v>
      </c>
      <c r="G24" s="46"/>
      <c r="H24" s="154">
        <v>0</v>
      </c>
      <c r="I24" s="145" t="s">
        <v>50</v>
      </c>
      <c r="L24" s="154">
        <v>0</v>
      </c>
    </row>
    <row r="25" spans="1:12" x14ac:dyDescent="0.3">
      <c r="A25" s="145" t="s">
        <v>29</v>
      </c>
      <c r="D25" s="154">
        <v>0</v>
      </c>
      <c r="E25" s="145" t="s">
        <v>44</v>
      </c>
      <c r="G25" s="46"/>
      <c r="H25" s="154">
        <v>1</v>
      </c>
      <c r="I25" s="145" t="s">
        <v>51</v>
      </c>
      <c r="L25" s="154">
        <v>1</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2</v>
      </c>
      <c r="K29" s="153" t="s">
        <v>326</v>
      </c>
      <c r="L29" s="46"/>
    </row>
    <row r="30" spans="1:12" s="65" customFormat="1" x14ac:dyDescent="0.3">
      <c r="A30" s="72" t="s">
        <v>180</v>
      </c>
      <c r="B30" s="46">
        <v>1</v>
      </c>
      <c r="C30" s="72" t="s">
        <v>305</v>
      </c>
      <c r="D30" s="49"/>
      <c r="E30" s="49"/>
      <c r="F30" s="49"/>
      <c r="G30" s="49"/>
      <c r="H30" s="157" t="s">
        <v>203</v>
      </c>
      <c r="I30" s="49"/>
      <c r="J30" s="158">
        <v>3</v>
      </c>
      <c r="K30" s="47" t="s">
        <v>338</v>
      </c>
      <c r="L30" s="46"/>
    </row>
    <row r="31" spans="1:12" x14ac:dyDescent="0.3">
      <c r="A31" s="72" t="s">
        <v>189</v>
      </c>
      <c r="B31" s="46">
        <v>1</v>
      </c>
      <c r="C31" s="72" t="s">
        <v>301</v>
      </c>
      <c r="H31" s="157" t="s">
        <v>59</v>
      </c>
      <c r="J31" s="158">
        <v>5</v>
      </c>
      <c r="K31" s="47" t="s">
        <v>340</v>
      </c>
      <c r="L31" s="46"/>
    </row>
    <row r="32" spans="1:12" x14ac:dyDescent="0.3">
      <c r="A32" s="72" t="s">
        <v>183</v>
      </c>
      <c r="B32" s="46">
        <v>1</v>
      </c>
      <c r="C32" s="72" t="s">
        <v>303</v>
      </c>
      <c r="H32" s="55" t="s">
        <v>70</v>
      </c>
      <c r="J32" s="158" t="s">
        <v>131</v>
      </c>
      <c r="L32" s="46"/>
    </row>
    <row r="33" spans="1:12" x14ac:dyDescent="0.3">
      <c r="A33" s="72" t="s">
        <v>183</v>
      </c>
      <c r="B33" s="46">
        <v>2</v>
      </c>
      <c r="C33" s="72" t="s">
        <v>304</v>
      </c>
      <c r="H33" s="55" t="s">
        <v>66</v>
      </c>
      <c r="J33" s="158">
        <f>J29+J30</f>
        <v>5</v>
      </c>
      <c r="K33" s="153" t="s">
        <v>325</v>
      </c>
      <c r="L33" s="46"/>
    </row>
    <row r="34" spans="1:12" x14ac:dyDescent="0.3">
      <c r="A34" s="53"/>
      <c r="B34" s="53"/>
      <c r="C34" s="53"/>
      <c r="D34" s="53"/>
      <c r="E34" s="53"/>
      <c r="F34" s="53"/>
      <c r="H34" s="55" t="s">
        <v>20</v>
      </c>
      <c r="J34" s="158">
        <v>5</v>
      </c>
      <c r="K34" s="153" t="s">
        <v>339</v>
      </c>
      <c r="L34" s="46"/>
    </row>
    <row r="35" spans="1:12" x14ac:dyDescent="0.3">
      <c r="H35" s="55" t="s">
        <v>67</v>
      </c>
      <c r="J35" s="158">
        <v>10</v>
      </c>
      <c r="K35" s="153" t="s">
        <v>355</v>
      </c>
    </row>
    <row r="36" spans="1:12" x14ac:dyDescent="0.3">
      <c r="A36" s="58"/>
      <c r="B36" s="58"/>
      <c r="C36" s="58"/>
      <c r="D36" s="58"/>
      <c r="E36" s="58"/>
      <c r="F36" s="58"/>
      <c r="H36" s="55" t="s">
        <v>202</v>
      </c>
      <c r="I36" s="65"/>
      <c r="J36" s="158">
        <f>7-J30</f>
        <v>4</v>
      </c>
      <c r="K36" s="153" t="s">
        <v>342</v>
      </c>
      <c r="L36" s="65"/>
    </row>
    <row r="37" spans="1:12" x14ac:dyDescent="0.3">
      <c r="G37" s="65"/>
    </row>
    <row r="38" spans="1:12" s="65" customFormat="1" x14ac:dyDescent="0.3">
      <c r="A38" s="148"/>
      <c r="B38" s="148"/>
      <c r="C38" s="148"/>
      <c r="D38" s="148"/>
      <c r="E38" s="148"/>
      <c r="F38" s="148"/>
      <c r="H38" s="55" t="s">
        <v>356</v>
      </c>
      <c r="I38" s="162"/>
      <c r="J38" s="162"/>
    </row>
    <row r="39" spans="1:12" x14ac:dyDescent="0.3">
      <c r="A39" s="58"/>
      <c r="B39" s="58"/>
      <c r="C39" s="58"/>
      <c r="D39" s="58"/>
      <c r="E39" s="58"/>
      <c r="F39" s="58"/>
      <c r="H39" s="55" t="s">
        <v>357</v>
      </c>
      <c r="I39" s="58"/>
      <c r="J39" s="58"/>
    </row>
    <row r="40" spans="1:12" ht="13.8" customHeight="1" x14ac:dyDescent="0.3"/>
    <row r="41" spans="1:12" x14ac:dyDescent="0.3">
      <c r="A41" s="148"/>
      <c r="B41" s="149"/>
      <c r="C41" s="148"/>
      <c r="D41" s="58"/>
      <c r="E41" s="61"/>
      <c r="F41" s="58"/>
      <c r="G41" s="65"/>
    </row>
    <row r="42" spans="1:12" x14ac:dyDescent="0.3">
      <c r="B42" s="46"/>
      <c r="D42" s="46"/>
      <c r="E42" s="144"/>
      <c r="H42" s="64"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F51" s="64" t="s">
        <v>77</v>
      </c>
    </row>
    <row r="52" spans="1:12" ht="13.8" customHeight="1" x14ac:dyDescent="0.3"/>
    <row r="53" spans="1:12" x14ac:dyDescent="0.3">
      <c r="A53" s="49" t="s">
        <v>78</v>
      </c>
      <c r="D53" s="49" t="s">
        <v>73</v>
      </c>
      <c r="E53" s="49" t="s">
        <v>79</v>
      </c>
    </row>
    <row r="55" spans="1:12" x14ac:dyDescent="0.3">
      <c r="A55" s="91" t="s">
        <v>268</v>
      </c>
      <c r="B55" s="58"/>
      <c r="C55" s="58"/>
      <c r="D55" s="160">
        <v>1</v>
      </c>
      <c r="E55" s="91" t="s">
        <v>344</v>
      </c>
      <c r="F55" s="58"/>
      <c r="G55" s="58"/>
      <c r="H55" s="58"/>
      <c r="I55" s="58"/>
      <c r="J55" s="58"/>
      <c r="K55" s="61"/>
      <c r="L55" s="58"/>
    </row>
    <row r="56" spans="1:12" x14ac:dyDescent="0.3">
      <c r="D56" s="158"/>
    </row>
    <row r="57" spans="1:12" x14ac:dyDescent="0.3">
      <c r="A57" s="58"/>
      <c r="B57" s="58"/>
      <c r="C57" s="58"/>
      <c r="D57" s="160"/>
      <c r="E57" s="58"/>
      <c r="F57" s="58"/>
      <c r="G57" s="58"/>
      <c r="H57" s="58"/>
      <c r="I57" s="58"/>
      <c r="J57" s="58"/>
      <c r="K57" s="61"/>
      <c r="L57" s="58"/>
    </row>
    <row r="58" spans="1:12" x14ac:dyDescent="0.3">
      <c r="D58" s="158"/>
    </row>
    <row r="59" spans="1:12" x14ac:dyDescent="0.3">
      <c r="A59" s="58"/>
      <c r="B59" s="58"/>
      <c r="C59" s="58"/>
      <c r="D59" s="160"/>
      <c r="E59" s="58"/>
      <c r="F59" s="58"/>
      <c r="G59" s="58"/>
      <c r="H59" s="58"/>
      <c r="I59" s="58"/>
      <c r="J59" s="58"/>
      <c r="K59" s="61"/>
      <c r="L59" s="58"/>
    </row>
    <row r="61" spans="1:12" ht="13.8" customHeight="1" x14ac:dyDescent="0.3">
      <c r="F61" s="64" t="s">
        <v>80</v>
      </c>
    </row>
    <row r="62" spans="1:12" x14ac:dyDescent="0.3">
      <c r="A62" s="72" t="s">
        <v>81</v>
      </c>
      <c r="B62" s="72" t="s">
        <v>82</v>
      </c>
      <c r="C62" s="72" t="s">
        <v>61</v>
      </c>
      <c r="D62" s="72"/>
      <c r="E62" s="72"/>
      <c r="F62" s="72" t="s">
        <v>83</v>
      </c>
      <c r="G62" s="72" t="s">
        <v>86</v>
      </c>
      <c r="H62" s="72" t="s">
        <v>85</v>
      </c>
      <c r="I62" s="72" t="s">
        <v>84</v>
      </c>
      <c r="J62" s="72" t="s">
        <v>87</v>
      </c>
      <c r="K62" s="67"/>
      <c r="L62" s="72"/>
    </row>
    <row r="64" spans="1:12" x14ac:dyDescent="0.3">
      <c r="A64" s="58"/>
      <c r="B64" s="58"/>
      <c r="C64" s="58"/>
      <c r="D64" s="58"/>
      <c r="E64" s="58"/>
      <c r="F64" s="58"/>
      <c r="G64" s="58"/>
      <c r="H64" s="58"/>
      <c r="I64" s="58"/>
      <c r="J64" s="58"/>
      <c r="K64" s="61"/>
      <c r="L64" s="58"/>
    </row>
    <row r="66" spans="1:12" x14ac:dyDescent="0.3">
      <c r="A66" s="58"/>
      <c r="B66" s="58"/>
      <c r="C66" s="58"/>
      <c r="D66" s="58"/>
      <c r="E66" s="58"/>
      <c r="F66" s="58"/>
      <c r="G66" s="58"/>
      <c r="H66" s="58"/>
      <c r="I66" s="58"/>
      <c r="J66" s="58"/>
      <c r="K66" s="61"/>
      <c r="L66" s="58"/>
    </row>
    <row r="68" spans="1:12" x14ac:dyDescent="0.3">
      <c r="A68" s="58"/>
      <c r="B68" s="58"/>
      <c r="C68" s="58"/>
      <c r="D68" s="58"/>
      <c r="E68" s="58"/>
      <c r="F68" s="58"/>
      <c r="G68" s="58"/>
      <c r="H68" s="58"/>
      <c r="I68" s="58"/>
      <c r="J68" s="58"/>
      <c r="K68" s="61"/>
      <c r="L68" s="58"/>
    </row>
    <row r="70" spans="1:12" x14ac:dyDescent="0.3">
      <c r="A70" s="58"/>
      <c r="B70" s="58"/>
      <c r="C70" s="58"/>
      <c r="D70" s="58"/>
      <c r="E70" s="58"/>
      <c r="F70" s="58"/>
      <c r="G70" s="58"/>
      <c r="H70" s="58"/>
      <c r="I70" s="58"/>
      <c r="J70" s="58"/>
      <c r="K70" s="61"/>
      <c r="L70" s="58"/>
    </row>
    <row r="72" spans="1:12" x14ac:dyDescent="0.3">
      <c r="A72" s="58"/>
      <c r="B72" s="58"/>
      <c r="C72" s="58"/>
      <c r="D72" s="58"/>
      <c r="E72" s="58"/>
      <c r="F72" s="58"/>
      <c r="G72" s="58"/>
      <c r="H72" s="58"/>
      <c r="I72" s="58"/>
      <c r="J72" s="58"/>
      <c r="K72" s="61"/>
      <c r="L72" s="58"/>
    </row>
    <row r="74" spans="1:12" x14ac:dyDescent="0.3">
      <c r="F74" s="64" t="s">
        <v>71</v>
      </c>
    </row>
    <row r="75" spans="1:12" x14ac:dyDescent="0.3">
      <c r="B75" s="64"/>
    </row>
    <row r="76" spans="1:12" ht="13.8" customHeight="1" x14ac:dyDescent="0.3">
      <c r="A76" s="58"/>
      <c r="B76" s="58"/>
      <c r="C76" s="58"/>
      <c r="D76" s="58"/>
      <c r="E76" s="58"/>
      <c r="F76" s="58"/>
      <c r="G76" s="58"/>
      <c r="H76" s="58"/>
      <c r="I76" s="58"/>
      <c r="J76" s="58"/>
      <c r="K76" s="61"/>
      <c r="L76" s="58"/>
    </row>
    <row r="77" spans="1:12" ht="13.8" customHeight="1" x14ac:dyDescent="0.3">
      <c r="A77" s="58"/>
      <c r="B77" s="58"/>
      <c r="C77" s="58"/>
      <c r="D77" s="58"/>
      <c r="E77" s="58"/>
      <c r="F77" s="58"/>
      <c r="G77" s="58"/>
      <c r="H77" s="58"/>
      <c r="I77" s="58"/>
      <c r="J77" s="58"/>
      <c r="K77" s="61"/>
      <c r="L77" s="58"/>
    </row>
    <row r="79" spans="1:12" x14ac:dyDescent="0.3">
      <c r="A79" s="58"/>
      <c r="B79" s="58"/>
      <c r="C79" s="58"/>
      <c r="D79" s="58"/>
      <c r="E79" s="58"/>
      <c r="F79" s="58"/>
      <c r="G79" s="58"/>
      <c r="H79" s="58"/>
      <c r="I79" s="58"/>
      <c r="J79" s="58"/>
      <c r="K79" s="61"/>
      <c r="L79" s="58"/>
    </row>
    <row r="81" spans="1:12" x14ac:dyDescent="0.3">
      <c r="A81" s="58"/>
      <c r="B81" s="58"/>
      <c r="C81" s="58"/>
      <c r="D81" s="58"/>
      <c r="E81" s="58"/>
      <c r="F81" s="58"/>
      <c r="G81" s="58"/>
      <c r="H81" s="58"/>
      <c r="I81" s="58"/>
      <c r="J81" s="58"/>
      <c r="K81" s="61"/>
      <c r="L81" s="58"/>
    </row>
    <row r="84" spans="1:12" x14ac:dyDescent="0.3">
      <c r="B84" s="64" t="s">
        <v>72</v>
      </c>
      <c r="F84" s="93" t="s">
        <v>234</v>
      </c>
      <c r="J84" s="46" t="s">
        <v>74</v>
      </c>
    </row>
    <row r="85" spans="1:12" x14ac:dyDescent="0.3">
      <c r="A85" s="49" t="s">
        <v>0</v>
      </c>
      <c r="B85" s="49" t="s">
        <v>73</v>
      </c>
      <c r="C85" s="49" t="s">
        <v>61</v>
      </c>
      <c r="E85" s="68" t="s">
        <v>61</v>
      </c>
      <c r="I85" s="68" t="s">
        <v>75</v>
      </c>
      <c r="K85" s="61"/>
      <c r="L85" s="58"/>
    </row>
    <row r="86" spans="1:12" x14ac:dyDescent="0.3">
      <c r="A86" s="68"/>
      <c r="E86" s="68"/>
      <c r="I86" s="68" t="s">
        <v>76</v>
      </c>
      <c r="K86" s="61"/>
      <c r="L86" s="58"/>
    </row>
    <row r="87" spans="1:12" x14ac:dyDescent="0.3">
      <c r="A87" s="86"/>
      <c r="B87" s="58"/>
      <c r="C87" s="58"/>
      <c r="D87" s="58"/>
      <c r="E87" s="86"/>
      <c r="F87" s="58"/>
      <c r="G87" s="58"/>
      <c r="H87" s="58"/>
      <c r="I87" s="86"/>
      <c r="J87" s="58"/>
      <c r="K87" s="61"/>
      <c r="L87" s="58"/>
    </row>
    <row r="88" spans="1:12" x14ac:dyDescent="0.3">
      <c r="A88" s="68"/>
      <c r="E88" s="68"/>
      <c r="I88" s="68"/>
    </row>
    <row r="89" spans="1:12" x14ac:dyDescent="0.3">
      <c r="A89" s="86"/>
      <c r="B89" s="58"/>
      <c r="C89" s="58"/>
      <c r="D89" s="58"/>
      <c r="E89" s="86"/>
      <c r="F89" s="58"/>
      <c r="G89" s="58"/>
      <c r="H89" s="58"/>
      <c r="I89" s="86"/>
      <c r="J89" s="58"/>
      <c r="K89" s="61"/>
      <c r="L89" s="58"/>
    </row>
    <row r="90" spans="1:12" x14ac:dyDescent="0.3">
      <c r="A90" s="68"/>
      <c r="E90" s="68"/>
      <c r="I90" s="68"/>
    </row>
    <row r="91" spans="1:12" x14ac:dyDescent="0.3">
      <c r="A91" s="86"/>
      <c r="B91" s="58"/>
      <c r="C91" s="58"/>
      <c r="D91" s="58"/>
      <c r="E91" s="86"/>
      <c r="F91" s="58"/>
      <c r="G91" s="58"/>
      <c r="H91" s="58"/>
      <c r="I91" s="86"/>
      <c r="J91" s="58"/>
      <c r="K91" s="61"/>
      <c r="L91" s="58"/>
    </row>
    <row r="93" spans="1:12" x14ac:dyDescent="0.3">
      <c r="A93" s="72" t="s">
        <v>88</v>
      </c>
      <c r="B93" s="72" t="s">
        <v>89</v>
      </c>
      <c r="C93" s="72" t="s">
        <v>347</v>
      </c>
      <c r="D93" s="72" t="s">
        <v>90</v>
      </c>
      <c r="E93" s="72" t="s">
        <v>91</v>
      </c>
      <c r="F93" s="72" t="s">
        <v>92</v>
      </c>
      <c r="G93" s="72" t="s">
        <v>93</v>
      </c>
      <c r="H93" s="72" t="s">
        <v>87</v>
      </c>
      <c r="J93" s="49" t="s">
        <v>94</v>
      </c>
    </row>
    <row r="95" spans="1:12" x14ac:dyDescent="0.3">
      <c r="A95" s="91" t="s">
        <v>345</v>
      </c>
      <c r="B95" s="126" t="s">
        <v>346</v>
      </c>
      <c r="C95" s="126">
        <v>6</v>
      </c>
      <c r="D95" s="126" t="s">
        <v>353</v>
      </c>
      <c r="E95" s="126">
        <v>0</v>
      </c>
      <c r="F95" s="126">
        <v>0</v>
      </c>
      <c r="G95" s="126"/>
      <c r="H95" s="74" t="s">
        <v>133</v>
      </c>
      <c r="J95" s="58"/>
      <c r="K95" s="61"/>
      <c r="L95" s="58"/>
    </row>
    <row r="96" spans="1:12" x14ac:dyDescent="0.3">
      <c r="A96" s="91" t="s">
        <v>348</v>
      </c>
      <c r="B96" s="126" t="s">
        <v>346</v>
      </c>
      <c r="C96" s="126">
        <v>6</v>
      </c>
      <c r="D96" s="126">
        <v>0</v>
      </c>
      <c r="E96" s="126">
        <v>0</v>
      </c>
      <c r="F96" s="126">
        <v>0</v>
      </c>
      <c r="G96" s="126"/>
      <c r="H96" s="74" t="s">
        <v>351</v>
      </c>
    </row>
    <row r="97" spans="1:12" x14ac:dyDescent="0.3">
      <c r="A97" s="91" t="s">
        <v>350</v>
      </c>
      <c r="B97" s="126" t="s">
        <v>349</v>
      </c>
      <c r="C97" s="126">
        <v>5</v>
      </c>
      <c r="D97" s="126">
        <v>0</v>
      </c>
      <c r="E97" s="126">
        <v>0</v>
      </c>
      <c r="F97" s="126">
        <v>0</v>
      </c>
      <c r="G97" s="126"/>
      <c r="H97" s="74" t="s">
        <v>132</v>
      </c>
      <c r="J97" s="58"/>
      <c r="K97" s="61"/>
      <c r="L97" s="58"/>
    </row>
    <row r="98" spans="1:12" x14ac:dyDescent="0.3">
      <c r="A98" s="91" t="s">
        <v>352</v>
      </c>
      <c r="B98" s="126">
        <v>4</v>
      </c>
      <c r="C98" s="126">
        <v>6</v>
      </c>
      <c r="D98" s="126">
        <v>12</v>
      </c>
      <c r="E98" s="126">
        <v>3</v>
      </c>
      <c r="F98" s="126">
        <v>6</v>
      </c>
      <c r="G98" s="126" t="s">
        <v>354</v>
      </c>
      <c r="H98" s="74" t="s">
        <v>133</v>
      </c>
    </row>
    <row r="99" spans="1:12" x14ac:dyDescent="0.3">
      <c r="A99" s="91"/>
      <c r="B99" s="91"/>
      <c r="C99" s="126"/>
      <c r="D99" s="126"/>
      <c r="E99" s="126"/>
      <c r="F99" s="126"/>
      <c r="G99" s="91"/>
      <c r="H99" s="74"/>
      <c r="J99" s="58"/>
      <c r="K99" s="61"/>
      <c r="L99" s="58"/>
    </row>
    <row r="100" spans="1:12" ht="17.399999999999999" x14ac:dyDescent="0.3">
      <c r="F100" s="75" t="s">
        <v>55</v>
      </c>
    </row>
    <row r="101" spans="1:12" x14ac:dyDescent="0.3">
      <c r="B101" s="67" t="s">
        <v>73</v>
      </c>
      <c r="C101" s="72" t="s">
        <v>61</v>
      </c>
    </row>
    <row r="102" spans="1:12" x14ac:dyDescent="0.3">
      <c r="A102" s="146" t="s">
        <v>314</v>
      </c>
      <c r="B102" s="46">
        <v>1</v>
      </c>
      <c r="C102" s="72" t="s">
        <v>315</v>
      </c>
    </row>
    <row r="103" spans="1:12" x14ac:dyDescent="0.3">
      <c r="A103" s="146" t="s">
        <v>101</v>
      </c>
      <c r="B103" s="46">
        <v>2</v>
      </c>
      <c r="C103" s="72" t="s">
        <v>316</v>
      </c>
    </row>
    <row r="104" spans="1:12" x14ac:dyDescent="0.3">
      <c r="A104" s="146" t="s">
        <v>103</v>
      </c>
      <c r="B104" s="46">
        <v>1</v>
      </c>
      <c r="C104" s="72" t="s">
        <v>317</v>
      </c>
    </row>
    <row r="105" spans="1:12" x14ac:dyDescent="0.3">
      <c r="A105" s="146" t="s">
        <v>98</v>
      </c>
      <c r="B105" s="46">
        <v>2</v>
      </c>
      <c r="C105" s="72" t="s">
        <v>320</v>
      </c>
    </row>
    <row r="106" spans="1:12" x14ac:dyDescent="0.3">
      <c r="A106" s="146" t="s">
        <v>100</v>
      </c>
      <c r="B106" s="46">
        <v>1</v>
      </c>
      <c r="C106" s="72" t="s">
        <v>318</v>
      </c>
    </row>
    <row r="107" spans="1:12" x14ac:dyDescent="0.3">
      <c r="A107" s="146" t="s">
        <v>97</v>
      </c>
      <c r="B107" s="46">
        <v>2</v>
      </c>
      <c r="C107" s="72" t="s">
        <v>319</v>
      </c>
    </row>
    <row r="109" spans="1:12" x14ac:dyDescent="0.3">
      <c r="A109" s="58"/>
      <c r="B109" s="58"/>
      <c r="C109" s="58"/>
      <c r="D109" s="58"/>
      <c r="E109" s="58"/>
      <c r="F109" s="58"/>
      <c r="G109" s="58"/>
      <c r="H109" s="58"/>
      <c r="I109" s="58"/>
      <c r="J109" s="58"/>
      <c r="K109" s="61"/>
      <c r="L109" s="58"/>
    </row>
    <row r="110" spans="1:12" x14ac:dyDescent="0.3">
      <c r="A110" s="58"/>
      <c r="B110" s="58"/>
      <c r="C110" s="58"/>
      <c r="D110" s="58"/>
      <c r="E110" s="58"/>
      <c r="F110" s="58"/>
      <c r="G110" s="58"/>
      <c r="H110" s="58"/>
      <c r="I110" s="58"/>
      <c r="J110" s="58"/>
      <c r="K110" s="61"/>
      <c r="L110" s="58"/>
    </row>
    <row r="111" spans="1:12" x14ac:dyDescent="0.3">
      <c r="A111" s="58"/>
      <c r="B111" s="58"/>
      <c r="C111" s="58"/>
      <c r="D111" s="58"/>
      <c r="E111" s="58"/>
      <c r="F111" s="58"/>
      <c r="G111" s="58"/>
      <c r="H111" s="58"/>
      <c r="I111" s="58"/>
      <c r="J111" s="58"/>
      <c r="K111" s="61"/>
      <c r="L111" s="58"/>
    </row>
    <row r="113" spans="1:12" x14ac:dyDescent="0.3">
      <c r="B113" s="67" t="s">
        <v>73</v>
      </c>
      <c r="C113" s="72" t="s">
        <v>61</v>
      </c>
    </row>
    <row r="114" spans="1:12" x14ac:dyDescent="0.3">
      <c r="A114" s="146" t="s">
        <v>321</v>
      </c>
      <c r="B114" s="46">
        <v>2</v>
      </c>
      <c r="C114" s="72" t="s">
        <v>324</v>
      </c>
    </row>
    <row r="115" spans="1:12" x14ac:dyDescent="0.3">
      <c r="A115" s="146" t="s">
        <v>322</v>
      </c>
      <c r="B115" s="46">
        <v>2</v>
      </c>
      <c r="C115" s="72" t="s">
        <v>323</v>
      </c>
    </row>
    <row r="116" spans="1:12" x14ac:dyDescent="0.3">
      <c r="A116" s="58"/>
      <c r="B116" s="61"/>
      <c r="C116" s="74"/>
      <c r="D116" s="58"/>
      <c r="E116" s="58"/>
      <c r="F116" s="58"/>
      <c r="G116" s="58"/>
      <c r="H116" s="58"/>
      <c r="I116" s="58"/>
      <c r="J116" s="58"/>
      <c r="K116" s="61"/>
      <c r="L116" s="58"/>
    </row>
    <row r="117" spans="1:12" x14ac:dyDescent="0.3">
      <c r="A117" s="58"/>
      <c r="B117" s="61"/>
      <c r="C117" s="74"/>
      <c r="D117" s="58"/>
      <c r="E117" s="58"/>
      <c r="F117" s="58"/>
      <c r="G117" s="58"/>
      <c r="H117" s="58"/>
      <c r="I117" s="58"/>
      <c r="J117" s="58"/>
      <c r="K117" s="61"/>
      <c r="L117" s="58"/>
    </row>
    <row r="118" spans="1:12" x14ac:dyDescent="0.3">
      <c r="A118" s="58"/>
      <c r="B118" s="61"/>
      <c r="C118" s="74"/>
      <c r="D118" s="58"/>
      <c r="E118" s="58"/>
      <c r="F118" s="58"/>
      <c r="G118" s="58"/>
      <c r="H118" s="58"/>
      <c r="I118" s="58"/>
      <c r="J118" s="58"/>
      <c r="K118" s="61"/>
      <c r="L118" s="58"/>
    </row>
    <row r="120" spans="1:12" x14ac:dyDescent="0.3">
      <c r="A120" s="49" t="s">
        <v>105</v>
      </c>
      <c r="C120" s="53"/>
      <c r="D120" s="53"/>
      <c r="E120" s="53"/>
      <c r="F120" s="53"/>
      <c r="G120" s="53"/>
      <c r="H120" s="53"/>
      <c r="I120" s="53"/>
      <c r="J120" s="53"/>
      <c r="K120" s="70"/>
      <c r="L120" s="53"/>
    </row>
    <row r="121" spans="1:12" x14ac:dyDescent="0.3">
      <c r="A121" s="49" t="s">
        <v>106</v>
      </c>
    </row>
    <row r="122" spans="1:12" x14ac:dyDescent="0.3">
      <c r="A122" s="49" t="s">
        <v>98</v>
      </c>
      <c r="C122" s="58"/>
      <c r="D122" s="58"/>
      <c r="E122" s="58"/>
      <c r="F122" s="58"/>
      <c r="G122" s="58"/>
      <c r="H122" s="58"/>
      <c r="I122" s="58"/>
      <c r="J122" s="58"/>
      <c r="K122" s="61"/>
      <c r="L122" s="58"/>
    </row>
    <row r="123" spans="1:12" x14ac:dyDescent="0.3">
      <c r="A123" s="49" t="s">
        <v>108</v>
      </c>
      <c r="C123" s="58"/>
      <c r="D123" s="58"/>
      <c r="E123" s="58"/>
      <c r="F123" s="58"/>
      <c r="G123" s="58"/>
      <c r="H123" s="58"/>
      <c r="I123" s="58"/>
      <c r="J123" s="58"/>
      <c r="K123" s="61"/>
      <c r="L123" s="58"/>
    </row>
    <row r="125" spans="1:12" ht="13.8" customHeight="1" x14ac:dyDescent="0.3">
      <c r="A125" s="49" t="s">
        <v>110</v>
      </c>
      <c r="C125" s="49" t="s">
        <v>109</v>
      </c>
      <c r="E125" s="49" t="s">
        <v>61</v>
      </c>
    </row>
    <row r="126" spans="1:12" x14ac:dyDescent="0.3">
      <c r="A126" s="58"/>
      <c r="B126" s="58"/>
      <c r="C126" s="58"/>
      <c r="D126" s="58"/>
      <c r="E126" s="58"/>
      <c r="F126" s="58"/>
      <c r="G126" s="58"/>
      <c r="H126" s="58"/>
      <c r="I126" s="58"/>
      <c r="J126" s="58"/>
      <c r="K126" s="61"/>
      <c r="L126" s="58"/>
    </row>
    <row r="127" spans="1:12" x14ac:dyDescent="0.3">
      <c r="A127" s="58"/>
      <c r="B127" s="58"/>
      <c r="C127" s="58"/>
      <c r="D127" s="58"/>
      <c r="E127" s="58"/>
      <c r="F127" s="58"/>
      <c r="G127" s="58"/>
      <c r="H127" s="58"/>
      <c r="I127" s="58"/>
      <c r="J127" s="58"/>
      <c r="K127" s="61"/>
      <c r="L127" s="58"/>
    </row>
    <row r="128" spans="1:12" x14ac:dyDescent="0.3">
      <c r="A128" s="58"/>
      <c r="B128" s="58"/>
      <c r="C128" s="58"/>
      <c r="D128" s="58"/>
      <c r="E128" s="58"/>
      <c r="F128" s="58"/>
      <c r="G128" s="58"/>
      <c r="H128" s="58"/>
      <c r="I128" s="58"/>
      <c r="J128" s="58"/>
      <c r="K128" s="61"/>
      <c r="L128" s="58"/>
    </row>
    <row r="129" spans="1:12" ht="13.2" customHeight="1" x14ac:dyDescent="0.3"/>
    <row r="130" spans="1:12" ht="13.8" customHeight="1" x14ac:dyDescent="0.3">
      <c r="B130" s="46" t="s">
        <v>17</v>
      </c>
      <c r="J130" s="46" t="s">
        <v>123</v>
      </c>
      <c r="K130" s="49"/>
      <c r="L130" s="46"/>
    </row>
    <row r="131" spans="1:12" ht="13.8" customHeight="1" x14ac:dyDescent="0.3">
      <c r="I131" s="49" t="s">
        <v>0</v>
      </c>
      <c r="K131" s="49" t="s">
        <v>87</v>
      </c>
    </row>
    <row r="132" spans="1:12" x14ac:dyDescent="0.3">
      <c r="A132" s="72" t="s">
        <v>113</v>
      </c>
      <c r="C132" s="49">
        <v>41</v>
      </c>
      <c r="E132" s="72" t="s">
        <v>118</v>
      </c>
      <c r="I132" s="58"/>
      <c r="J132" s="58"/>
      <c r="K132" s="58"/>
      <c r="L132" s="61"/>
    </row>
    <row r="133" spans="1:12" x14ac:dyDescent="0.3">
      <c r="A133" s="74" t="s">
        <v>112</v>
      </c>
      <c r="B133" s="58"/>
      <c r="C133" s="58">
        <v>41</v>
      </c>
      <c r="E133" s="74" t="s">
        <v>119</v>
      </c>
      <c r="F133" s="58"/>
      <c r="G133" s="58"/>
      <c r="I133" s="77"/>
      <c r="J133" s="77"/>
      <c r="K133" s="77"/>
      <c r="L133" s="123"/>
    </row>
    <row r="134" spans="1:12" x14ac:dyDescent="0.3">
      <c r="A134" s="72" t="s">
        <v>114</v>
      </c>
      <c r="E134" s="72" t="s">
        <v>120</v>
      </c>
      <c r="I134" s="58"/>
      <c r="J134" s="58"/>
      <c r="K134" s="58"/>
      <c r="L134" s="61"/>
    </row>
    <row r="135" spans="1:12" x14ac:dyDescent="0.3">
      <c r="A135" s="74" t="s">
        <v>115</v>
      </c>
      <c r="B135" s="58"/>
      <c r="C135" s="58"/>
      <c r="E135" s="74" t="s">
        <v>121</v>
      </c>
      <c r="F135" s="58"/>
      <c r="G135" s="58"/>
      <c r="K135" s="49"/>
      <c r="L135" s="46"/>
    </row>
    <row r="136" spans="1:12" x14ac:dyDescent="0.3">
      <c r="A136" s="72" t="s">
        <v>116</v>
      </c>
      <c r="E136" s="72" t="s">
        <v>122</v>
      </c>
      <c r="I136" s="58"/>
      <c r="J136" s="58"/>
      <c r="K136" s="58"/>
      <c r="L136" s="61"/>
    </row>
    <row r="137" spans="1:12" x14ac:dyDescent="0.3">
      <c r="A137" s="74" t="s">
        <v>117</v>
      </c>
      <c r="B137" s="58"/>
      <c r="C137" s="58"/>
      <c r="E137" s="74"/>
      <c r="F137" s="58"/>
      <c r="G137" s="58"/>
      <c r="I137" s="53"/>
      <c r="J137" s="53"/>
      <c r="K137" s="53"/>
      <c r="L137" s="70"/>
    </row>
    <row r="140" spans="1:12" x14ac:dyDescent="0.3">
      <c r="A140" s="82"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82"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64" t="s">
        <v>306</v>
      </c>
    </row>
    <row r="151" spans="1:12" x14ac:dyDescent="0.3">
      <c r="A151" s="55" t="s">
        <v>308</v>
      </c>
    </row>
    <row r="152" spans="1:12" x14ac:dyDescent="0.3">
      <c r="A152" s="55" t="s">
        <v>307</v>
      </c>
    </row>
    <row r="154" spans="1:12" x14ac:dyDescent="0.3">
      <c r="A154" s="55" t="s">
        <v>309</v>
      </c>
      <c r="C154" s="55"/>
      <c r="D154" s="55"/>
      <c r="E154" s="55"/>
      <c r="F154" s="55"/>
      <c r="G154" s="55"/>
      <c r="H154" s="55"/>
      <c r="I154" s="55"/>
      <c r="J154" s="55"/>
      <c r="K154" s="55"/>
      <c r="L154" s="55"/>
    </row>
    <row r="155" spans="1:12" x14ac:dyDescent="0.3">
      <c r="D155" s="55"/>
      <c r="E155" s="55"/>
      <c r="F155" s="55"/>
      <c r="G155" s="55"/>
      <c r="H155" s="55"/>
      <c r="I155" s="55"/>
      <c r="J155" s="55"/>
      <c r="K155" s="55"/>
      <c r="L155" s="55"/>
    </row>
    <row r="156" spans="1:12" x14ac:dyDescent="0.3">
      <c r="A156" s="55" t="s">
        <v>310</v>
      </c>
      <c r="B156" s="55"/>
      <c r="C156" s="55"/>
      <c r="D156" s="55"/>
      <c r="E156" s="55"/>
      <c r="F156" s="55"/>
      <c r="G156" s="55"/>
      <c r="H156" s="55"/>
      <c r="I156" s="55"/>
      <c r="J156" s="55"/>
      <c r="K156" s="55"/>
      <c r="L156" s="55"/>
    </row>
    <row r="157" spans="1:12" x14ac:dyDescent="0.3">
      <c r="B157" s="55" t="s">
        <v>311</v>
      </c>
      <c r="C157" s="55"/>
      <c r="D157" s="55"/>
      <c r="E157" s="55"/>
      <c r="F157" s="55"/>
      <c r="G157" s="55"/>
      <c r="H157" s="55"/>
      <c r="I157" s="55"/>
      <c r="J157" s="55"/>
      <c r="K157" s="55"/>
      <c r="L157" s="55"/>
    </row>
    <row r="158" spans="1:12" x14ac:dyDescent="0.3">
      <c r="A158" s="55" t="s">
        <v>312</v>
      </c>
      <c r="B158" s="55"/>
      <c r="C158" s="55"/>
      <c r="D158" s="55"/>
      <c r="E158" s="55"/>
      <c r="F158" s="55"/>
      <c r="G158" s="55"/>
      <c r="H158" s="55"/>
      <c r="I158" s="55"/>
      <c r="J158" s="55"/>
      <c r="K158" s="55"/>
      <c r="L158" s="55"/>
    </row>
    <row r="159" spans="1:12" x14ac:dyDescent="0.3">
      <c r="A159" s="55"/>
      <c r="B159" s="55" t="s">
        <v>313</v>
      </c>
      <c r="C159" s="55"/>
      <c r="D159" s="55"/>
      <c r="E159" s="55"/>
      <c r="F159" s="55"/>
      <c r="G159" s="55"/>
      <c r="H159" s="55"/>
      <c r="I159" s="55"/>
      <c r="J159" s="55"/>
      <c r="K159" s="55"/>
      <c r="L159" s="55"/>
    </row>
    <row r="160" spans="1:12" x14ac:dyDescent="0.3">
      <c r="A160" s="55"/>
      <c r="B160" s="55"/>
      <c r="C160" s="55"/>
      <c r="D160" s="55"/>
      <c r="E160" s="55"/>
      <c r="F160" s="55"/>
      <c r="G160" s="55"/>
      <c r="H160" s="55"/>
      <c r="I160" s="55"/>
      <c r="J160" s="55"/>
      <c r="K160" s="55"/>
      <c r="L160" s="55"/>
    </row>
    <row r="161" spans="1:12" x14ac:dyDescent="0.3">
      <c r="A161" s="55"/>
      <c r="B161" s="55"/>
      <c r="C161" s="55"/>
      <c r="D161" s="55"/>
      <c r="E161" s="55"/>
      <c r="F161" s="55"/>
      <c r="G161" s="55"/>
      <c r="H161" s="55"/>
      <c r="I161" s="55"/>
      <c r="J161" s="55"/>
      <c r="K161" s="55"/>
      <c r="L161" s="55"/>
    </row>
    <row r="162" spans="1:12" x14ac:dyDescent="0.3">
      <c r="A162" s="55"/>
      <c r="B162" s="55"/>
      <c r="C162" s="55"/>
      <c r="D162" s="55"/>
      <c r="E162" s="55"/>
      <c r="F162" s="55"/>
      <c r="G162" s="55"/>
      <c r="H162" s="55"/>
      <c r="I162" s="55"/>
      <c r="J162" s="55"/>
      <c r="K162" s="55"/>
      <c r="L162" s="55"/>
    </row>
    <row r="163" spans="1:12" x14ac:dyDescent="0.3">
      <c r="A163" s="55"/>
      <c r="B163" s="55"/>
      <c r="C163" s="55"/>
      <c r="D163" s="55"/>
      <c r="E163" s="55"/>
      <c r="F163" s="55"/>
      <c r="G163" s="55"/>
      <c r="H163" s="55"/>
      <c r="I163" s="55"/>
      <c r="J163" s="55"/>
      <c r="K163" s="55"/>
      <c r="L163" s="55"/>
    </row>
    <row r="164" spans="1:12" x14ac:dyDescent="0.3">
      <c r="A164" s="64" t="s">
        <v>150</v>
      </c>
      <c r="B164" s="82" t="s">
        <v>327</v>
      </c>
      <c r="J164" s="64" t="s">
        <v>143</v>
      </c>
      <c r="K164" s="49"/>
    </row>
    <row r="165" spans="1:12" x14ac:dyDescent="0.3">
      <c r="A165" s="64">
        <v>10</v>
      </c>
      <c r="B165" s="72" t="s">
        <v>328</v>
      </c>
      <c r="I165" s="72" t="s">
        <v>144</v>
      </c>
      <c r="K165" s="49" t="s">
        <v>145</v>
      </c>
    </row>
    <row r="166" spans="1:12" x14ac:dyDescent="0.3">
      <c r="A166" s="64">
        <v>9</v>
      </c>
      <c r="B166" s="72" t="s">
        <v>329</v>
      </c>
      <c r="I166" s="72" t="s">
        <v>7</v>
      </c>
      <c r="K166" s="49" t="s">
        <v>146</v>
      </c>
    </row>
    <row r="167" spans="1:12" x14ac:dyDescent="0.3">
      <c r="A167" s="64">
        <v>8</v>
      </c>
      <c r="B167" s="72" t="s">
        <v>330</v>
      </c>
      <c r="I167" s="72" t="s">
        <v>21</v>
      </c>
      <c r="K167" s="49" t="s">
        <v>147</v>
      </c>
    </row>
    <row r="168" spans="1:12" x14ac:dyDescent="0.3">
      <c r="A168" s="64">
        <v>7</v>
      </c>
      <c r="B168" s="72" t="s">
        <v>331</v>
      </c>
      <c r="I168" s="72" t="s">
        <v>56</v>
      </c>
      <c r="K168" s="49" t="s">
        <v>148</v>
      </c>
    </row>
    <row r="169" spans="1:12" x14ac:dyDescent="0.3">
      <c r="A169" s="64">
        <v>6</v>
      </c>
      <c r="B169" s="72" t="s">
        <v>332</v>
      </c>
      <c r="I169" s="72" t="s">
        <v>55</v>
      </c>
      <c r="K169" s="49" t="s">
        <v>149</v>
      </c>
    </row>
    <row r="170" spans="1:12" x14ac:dyDescent="0.3">
      <c r="A170" s="64">
        <v>5</v>
      </c>
      <c r="B170" s="72" t="s">
        <v>343</v>
      </c>
      <c r="I170" s="72" t="s">
        <v>57</v>
      </c>
      <c r="K170" s="49" t="s">
        <v>147</v>
      </c>
    </row>
    <row r="171" spans="1:12" x14ac:dyDescent="0.3">
      <c r="A171" s="64">
        <v>4</v>
      </c>
      <c r="B171" s="72" t="s">
        <v>333</v>
      </c>
      <c r="I171" s="72" t="s">
        <v>150</v>
      </c>
      <c r="K171" s="49" t="s">
        <v>149</v>
      </c>
    </row>
    <row r="172" spans="1:12" x14ac:dyDescent="0.3">
      <c r="A172" s="64">
        <v>3</v>
      </c>
      <c r="B172" s="72" t="s">
        <v>334</v>
      </c>
      <c r="I172" s="72" t="s">
        <v>20</v>
      </c>
      <c r="K172" s="49" t="s">
        <v>149</v>
      </c>
    </row>
    <row r="173" spans="1:12" x14ac:dyDescent="0.3">
      <c r="A173" s="64">
        <v>2</v>
      </c>
      <c r="B173" s="72" t="s">
        <v>335</v>
      </c>
    </row>
    <row r="174" spans="1:12" x14ac:dyDescent="0.3">
      <c r="A174" s="64">
        <v>1</v>
      </c>
      <c r="B174" s="72" t="s">
        <v>336</v>
      </c>
    </row>
    <row r="175" spans="1:12" x14ac:dyDescent="0.3">
      <c r="A175" s="64">
        <v>0</v>
      </c>
      <c r="B175" s="72" t="s">
        <v>337</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sheetPr>
    <pageSetUpPr fitToPage="1"/>
  </sheetPr>
  <dimension ref="A1:S61"/>
  <sheetViews>
    <sheetView tabSelected="1" topLeftCell="A14" zoomScale="130" zoomScaleNormal="130" workbookViewId="0">
      <selection activeCell="U9" sqref="U9"/>
    </sheetView>
  </sheetViews>
  <sheetFormatPr defaultRowHeight="18" x14ac:dyDescent="0.35"/>
  <cols>
    <col min="1" max="1" width="17.44140625" style="4" customWidth="1"/>
    <col min="2" max="3" width="10.5546875" style="4" customWidth="1"/>
    <col min="4" max="5" width="10.5546875" style="3" customWidth="1"/>
    <col min="6" max="9" width="10.5546875" style="4" customWidth="1"/>
    <col min="10" max="10" width="9.33203125" style="25" customWidth="1"/>
    <col min="11" max="19" width="9.33203125" customWidth="1"/>
  </cols>
  <sheetData>
    <row r="1" spans="1:19" ht="18.600000000000001" x14ac:dyDescent="0.4">
      <c r="A1" s="217" t="s">
        <v>390</v>
      </c>
      <c r="B1" s="217"/>
      <c r="C1" s="217"/>
      <c r="D1" s="217"/>
      <c r="E1" s="217"/>
      <c r="F1" s="217"/>
      <c r="G1" s="217"/>
      <c r="H1" s="217"/>
      <c r="I1" s="217"/>
      <c r="J1" s="218">
        <f>C7</f>
        <v>0.8125</v>
      </c>
      <c r="K1" s="219"/>
      <c r="L1" s="220">
        <f>C8</f>
        <v>0.83333333333333337</v>
      </c>
      <c r="M1" s="219"/>
      <c r="N1" s="220">
        <f>C9</f>
        <v>0.85416666666666674</v>
      </c>
      <c r="O1" s="219"/>
      <c r="P1" s="220">
        <f>C10</f>
        <v>0.87500000000000011</v>
      </c>
      <c r="Q1" s="219"/>
      <c r="R1" s="220">
        <f>C11</f>
        <v>0.89583333333333348</v>
      </c>
      <c r="S1" s="221"/>
    </row>
    <row r="2" spans="1:19" ht="18.600000000000001" x14ac:dyDescent="0.4">
      <c r="J2" s="176"/>
      <c r="K2" s="167"/>
      <c r="L2" s="177"/>
      <c r="M2" s="167"/>
      <c r="N2" s="177"/>
      <c r="O2" s="167"/>
      <c r="P2" s="177"/>
      <c r="Q2" s="167"/>
      <c r="R2" s="177"/>
      <c r="S2" s="178"/>
    </row>
    <row r="3" spans="1:19" ht="18.600000000000001" x14ac:dyDescent="0.4">
      <c r="B3" s="171" t="s">
        <v>368</v>
      </c>
      <c r="C3" s="171" t="s">
        <v>369</v>
      </c>
      <c r="D3" s="3" t="s">
        <v>370</v>
      </c>
      <c r="E3" s="171" t="s">
        <v>371</v>
      </c>
      <c r="J3" s="176"/>
      <c r="K3" s="167"/>
      <c r="L3" s="177"/>
      <c r="M3" s="167"/>
      <c r="N3" s="177"/>
      <c r="O3" s="167"/>
      <c r="P3" s="177"/>
      <c r="Q3" s="167"/>
      <c r="R3" s="177"/>
      <c r="S3" s="178"/>
    </row>
    <row r="4" spans="1:19" ht="18.600000000000001" x14ac:dyDescent="0.4">
      <c r="A4" s="4" t="s">
        <v>370</v>
      </c>
      <c r="B4" s="3">
        <v>10</v>
      </c>
      <c r="C4" s="3">
        <f>B4*3</f>
        <v>30</v>
      </c>
      <c r="J4" s="176"/>
      <c r="K4" s="167"/>
      <c r="L4" s="177"/>
      <c r="M4" s="167"/>
      <c r="N4" s="177"/>
      <c r="O4" s="167"/>
      <c r="P4" s="177"/>
      <c r="Q4" s="167"/>
      <c r="R4" s="177"/>
      <c r="S4" s="178"/>
    </row>
    <row r="5" spans="1:19" ht="18.600000000000001" x14ac:dyDescent="0.4">
      <c r="J5" s="179"/>
      <c r="K5" s="168"/>
      <c r="L5" s="166"/>
      <c r="M5" s="168"/>
      <c r="N5" s="169"/>
      <c r="O5" s="168"/>
      <c r="P5" s="169"/>
      <c r="Q5" s="168"/>
      <c r="R5" s="169"/>
      <c r="S5" s="180"/>
    </row>
    <row r="6" spans="1:19" ht="18.600000000000001" x14ac:dyDescent="0.4">
      <c r="A6" s="172" t="s">
        <v>394</v>
      </c>
      <c r="B6" s="173"/>
      <c r="C6" s="173">
        <v>0.77083333333333304</v>
      </c>
      <c r="F6" s="4" t="s">
        <v>389</v>
      </c>
      <c r="J6" s="213">
        <f>C12</f>
        <v>0.91666666666666685</v>
      </c>
      <c r="K6" s="214"/>
      <c r="L6" s="215">
        <f>C13</f>
        <v>0.93750000000000022</v>
      </c>
      <c r="M6" s="214"/>
      <c r="N6" s="215">
        <f>C14</f>
        <v>0.95833333333333359</v>
      </c>
      <c r="O6" s="214"/>
      <c r="P6" s="215">
        <f>C15</f>
        <v>0.97916666666666696</v>
      </c>
      <c r="Q6" s="214"/>
      <c r="R6" s="215">
        <f>C16</f>
        <v>1.0000000000000002</v>
      </c>
      <c r="S6" s="216"/>
    </row>
    <row r="7" spans="1:19" ht="18.600000000000001" x14ac:dyDescent="0.4">
      <c r="A7" s="4" t="s">
        <v>391</v>
      </c>
      <c r="B7" s="174">
        <v>0.89583333333333337</v>
      </c>
      <c r="C7" s="173">
        <v>0.8125</v>
      </c>
      <c r="D7" s="175">
        <v>10</v>
      </c>
      <c r="E7" s="3" t="s">
        <v>372</v>
      </c>
      <c r="F7" s="4" t="s">
        <v>402</v>
      </c>
      <c r="J7" s="176"/>
      <c r="K7" s="167"/>
      <c r="L7" s="177"/>
      <c r="M7" s="167"/>
      <c r="N7" s="177"/>
      <c r="O7" s="167"/>
      <c r="P7" s="177"/>
      <c r="Q7" s="167"/>
      <c r="R7" s="177"/>
      <c r="S7" s="178"/>
    </row>
    <row r="8" spans="1:19" ht="18.600000000000001" x14ac:dyDescent="0.4">
      <c r="A8" s="4" t="s">
        <v>392</v>
      </c>
      <c r="B8" s="173">
        <f t="shared" ref="B8:B31" si="0">B7 + $B$4/1440</f>
        <v>0.90277777777777779</v>
      </c>
      <c r="C8" s="173">
        <f t="shared" ref="C8:C31" si="1">C7 + $C$4/1440</f>
        <v>0.83333333333333337</v>
      </c>
      <c r="D8" s="3">
        <f>D7+$B$4</f>
        <v>20</v>
      </c>
      <c r="E8" s="3" t="s">
        <v>372</v>
      </c>
      <c r="J8" s="176"/>
      <c r="K8" s="167"/>
      <c r="L8" s="177"/>
      <c r="M8" s="167"/>
      <c r="N8" s="177"/>
      <c r="O8" s="167"/>
      <c r="P8" s="177"/>
      <c r="Q8" s="167"/>
      <c r="R8" s="177"/>
      <c r="S8" s="178"/>
    </row>
    <row r="9" spans="1:19" ht="18.600000000000001" x14ac:dyDescent="0.4">
      <c r="B9" s="173">
        <f t="shared" si="0"/>
        <v>0.90972222222222221</v>
      </c>
      <c r="C9" s="173">
        <f t="shared" si="1"/>
        <v>0.85416666666666674</v>
      </c>
      <c r="D9" s="3">
        <f>D8+$B$4</f>
        <v>30</v>
      </c>
      <c r="E9" s="3" t="s">
        <v>373</v>
      </c>
      <c r="J9" s="176"/>
      <c r="K9" s="167"/>
      <c r="L9" s="177"/>
      <c r="M9" s="167"/>
      <c r="N9" s="177"/>
      <c r="O9" s="167"/>
      <c r="P9" s="177"/>
      <c r="Q9" s="167"/>
      <c r="R9" s="177"/>
      <c r="S9" s="178"/>
    </row>
    <row r="10" spans="1:19" ht="18.600000000000001" x14ac:dyDescent="0.4">
      <c r="B10" s="173">
        <f t="shared" si="0"/>
        <v>0.91666666666666663</v>
      </c>
      <c r="C10" s="173">
        <f t="shared" si="1"/>
        <v>0.87500000000000011</v>
      </c>
      <c r="D10" s="3">
        <f>D9+$B$4</f>
        <v>40</v>
      </c>
      <c r="E10" s="3" t="s">
        <v>373</v>
      </c>
      <c r="J10" s="179"/>
      <c r="K10" s="168"/>
      <c r="L10" s="166"/>
      <c r="M10" s="168"/>
      <c r="N10" s="169"/>
      <c r="O10" s="168"/>
      <c r="P10" s="169"/>
      <c r="Q10" s="168"/>
      <c r="R10" s="169"/>
      <c r="S10" s="180"/>
    </row>
    <row r="11" spans="1:19" ht="18.600000000000001" x14ac:dyDescent="0.4">
      <c r="A11" s="4" t="s">
        <v>395</v>
      </c>
      <c r="B11" s="173">
        <f t="shared" si="0"/>
        <v>0.92361111111111105</v>
      </c>
      <c r="C11" s="173">
        <f t="shared" si="1"/>
        <v>0.89583333333333348</v>
      </c>
      <c r="D11" s="3">
        <f>D10+$B$4</f>
        <v>50</v>
      </c>
      <c r="E11" s="3" t="s">
        <v>373</v>
      </c>
      <c r="F11" s="4" t="s">
        <v>385</v>
      </c>
      <c r="J11" s="213">
        <f>C17</f>
        <v>1.0208333333333335</v>
      </c>
      <c r="K11" s="214"/>
      <c r="L11" s="215">
        <f>C18</f>
        <v>1.0416666666666667</v>
      </c>
      <c r="M11" s="214"/>
      <c r="N11" s="215">
        <f>C19</f>
        <v>1.0625</v>
      </c>
      <c r="O11" s="214"/>
      <c r="P11" s="215">
        <f>C20</f>
        <v>1.0833333333333333</v>
      </c>
      <c r="Q11" s="214"/>
      <c r="R11" s="215">
        <f>C21</f>
        <v>1.1041666666666665</v>
      </c>
      <c r="S11" s="216"/>
    </row>
    <row r="12" spans="1:19" ht="18.600000000000001" x14ac:dyDescent="0.4">
      <c r="B12" s="173">
        <f t="shared" si="0"/>
        <v>0.93055555555555547</v>
      </c>
      <c r="C12" s="173">
        <f t="shared" si="1"/>
        <v>0.91666666666666685</v>
      </c>
      <c r="D12" s="175">
        <v>10</v>
      </c>
      <c r="E12" s="3" t="s">
        <v>374</v>
      </c>
      <c r="J12" s="176"/>
      <c r="K12" s="167"/>
      <c r="L12" s="177"/>
      <c r="M12" s="167"/>
      <c r="N12" s="177"/>
      <c r="O12" s="167"/>
      <c r="P12" s="177"/>
      <c r="Q12" s="167"/>
      <c r="R12" s="177"/>
      <c r="S12" s="178"/>
    </row>
    <row r="13" spans="1:19" ht="18.600000000000001" x14ac:dyDescent="0.4">
      <c r="B13" s="173">
        <f t="shared" si="0"/>
        <v>0.93749999999999989</v>
      </c>
      <c r="C13" s="173">
        <f t="shared" si="1"/>
        <v>0.93750000000000022</v>
      </c>
      <c r="D13" s="3">
        <f>D12+$B$4</f>
        <v>20</v>
      </c>
      <c r="E13" s="3" t="s">
        <v>374</v>
      </c>
      <c r="F13" s="4" t="s">
        <v>386</v>
      </c>
      <c r="J13" s="176"/>
      <c r="K13" s="167"/>
      <c r="L13" s="177"/>
      <c r="M13" s="167"/>
      <c r="N13" s="177"/>
      <c r="O13" s="167"/>
      <c r="P13" s="177"/>
      <c r="Q13" s="167"/>
      <c r="R13" s="177"/>
      <c r="S13" s="178"/>
    </row>
    <row r="14" spans="1:19" ht="18.600000000000001" x14ac:dyDescent="0.4">
      <c r="B14" s="173">
        <f t="shared" si="0"/>
        <v>0.94444444444444431</v>
      </c>
      <c r="C14" s="173">
        <f t="shared" si="1"/>
        <v>0.95833333333333359</v>
      </c>
      <c r="D14" s="175">
        <v>10</v>
      </c>
      <c r="E14" s="3" t="s">
        <v>375</v>
      </c>
      <c r="J14" s="176"/>
      <c r="K14" s="167"/>
      <c r="L14" s="177"/>
      <c r="M14" s="167"/>
      <c r="N14" s="177"/>
      <c r="O14" s="167"/>
      <c r="P14" s="177"/>
      <c r="Q14" s="167"/>
      <c r="R14" s="177"/>
      <c r="S14" s="178"/>
    </row>
    <row r="15" spans="1:19" ht="18.600000000000001" x14ac:dyDescent="0.4">
      <c r="B15" s="173">
        <f t="shared" si="0"/>
        <v>0.95138888888888873</v>
      </c>
      <c r="C15" s="173">
        <f t="shared" si="1"/>
        <v>0.97916666666666696</v>
      </c>
      <c r="D15" s="3">
        <f>D14+$B$4</f>
        <v>20</v>
      </c>
      <c r="E15" s="3" t="s">
        <v>375</v>
      </c>
      <c r="J15" s="179"/>
      <c r="K15" s="168"/>
      <c r="L15" s="166"/>
      <c r="M15" s="168"/>
      <c r="N15" s="169"/>
      <c r="O15" s="168"/>
      <c r="P15" s="169"/>
      <c r="Q15" s="168"/>
      <c r="R15" s="169"/>
      <c r="S15" s="180"/>
    </row>
    <row r="16" spans="1:19" ht="18.600000000000001" x14ac:dyDescent="0.4">
      <c r="A16" s="4" t="s">
        <v>396</v>
      </c>
      <c r="B16" s="173">
        <f t="shared" si="0"/>
        <v>0.95833333333333315</v>
      </c>
      <c r="C16" s="173">
        <f t="shared" si="1"/>
        <v>1.0000000000000002</v>
      </c>
      <c r="D16" s="3">
        <f>D15+$B$4</f>
        <v>30</v>
      </c>
      <c r="E16" s="3" t="s">
        <v>375</v>
      </c>
      <c r="J16" s="213">
        <f>C22</f>
        <v>1.1249999999999998</v>
      </c>
      <c r="K16" s="214"/>
      <c r="L16" s="215">
        <f>C23</f>
        <v>1.145833333333333</v>
      </c>
      <c r="M16" s="214"/>
      <c r="N16" s="215">
        <f>C24</f>
        <v>1.1666666666666663</v>
      </c>
      <c r="O16" s="214"/>
      <c r="P16" s="215">
        <f>C25</f>
        <v>1.1874999999999996</v>
      </c>
      <c r="Q16" s="214"/>
      <c r="R16" s="215">
        <f>C26</f>
        <v>1.2083333333333328</v>
      </c>
      <c r="S16" s="216"/>
    </row>
    <row r="17" spans="1:19" ht="18.600000000000001" x14ac:dyDescent="0.4">
      <c r="B17" s="173">
        <f t="shared" si="0"/>
        <v>0.96527777777777757</v>
      </c>
      <c r="C17" s="173">
        <f t="shared" si="1"/>
        <v>1.0208333333333335</v>
      </c>
      <c r="D17" s="3">
        <f>D16+$B$4</f>
        <v>40</v>
      </c>
      <c r="E17" s="3" t="s">
        <v>375</v>
      </c>
      <c r="F17" s="4" t="s">
        <v>403</v>
      </c>
      <c r="J17" s="176"/>
      <c r="K17" s="167"/>
      <c r="L17" s="177"/>
      <c r="M17" s="167"/>
      <c r="N17" s="177"/>
      <c r="O17" s="167"/>
      <c r="P17" s="177"/>
      <c r="Q17" s="167"/>
      <c r="R17" s="177"/>
      <c r="S17" s="178"/>
    </row>
    <row r="18" spans="1:19" ht="18.600000000000001" x14ac:dyDescent="0.4">
      <c r="A18" s="4" t="s">
        <v>399</v>
      </c>
      <c r="B18" s="173">
        <f t="shared" si="0"/>
        <v>0.97222222222222199</v>
      </c>
      <c r="C18" s="173">
        <f t="shared" si="1"/>
        <v>1.0416666666666667</v>
      </c>
      <c r="D18" s="175">
        <v>10</v>
      </c>
      <c r="E18" s="3" t="s">
        <v>376</v>
      </c>
      <c r="J18" s="176"/>
      <c r="K18" s="167"/>
      <c r="L18" s="177"/>
      <c r="M18" s="167"/>
      <c r="N18" s="177"/>
      <c r="O18" s="167"/>
      <c r="P18" s="177"/>
      <c r="Q18" s="167"/>
      <c r="R18" s="177"/>
      <c r="S18" s="178"/>
    </row>
    <row r="19" spans="1:19" ht="18.600000000000001" x14ac:dyDescent="0.4">
      <c r="B19" s="173">
        <f t="shared" si="0"/>
        <v>0.97916666666666641</v>
      </c>
      <c r="C19" s="173">
        <f t="shared" si="1"/>
        <v>1.0625</v>
      </c>
      <c r="D19" s="3">
        <f>D18+$B$4</f>
        <v>20</v>
      </c>
      <c r="E19" s="3" t="s">
        <v>376</v>
      </c>
      <c r="J19" s="176"/>
      <c r="K19" s="167"/>
      <c r="L19" s="177"/>
      <c r="M19" s="167"/>
      <c r="N19" s="177"/>
      <c r="O19" s="167"/>
      <c r="P19" s="177"/>
      <c r="Q19" s="167"/>
      <c r="R19" s="177"/>
      <c r="S19" s="178"/>
    </row>
    <row r="20" spans="1:19" ht="18.600000000000001" x14ac:dyDescent="0.4">
      <c r="B20" s="173">
        <f t="shared" si="0"/>
        <v>0.98611111111111083</v>
      </c>
      <c r="C20" s="173">
        <f t="shared" si="1"/>
        <v>1.0833333333333333</v>
      </c>
      <c r="D20" s="3">
        <f>D19+$B$4</f>
        <v>30</v>
      </c>
      <c r="E20" s="3" t="s">
        <v>376</v>
      </c>
      <c r="F20" s="4" t="s">
        <v>404</v>
      </c>
      <c r="J20" s="179"/>
      <c r="K20" s="168"/>
      <c r="L20" s="166"/>
      <c r="M20" s="168"/>
      <c r="N20" s="169"/>
      <c r="O20" s="168"/>
      <c r="P20" s="169"/>
      <c r="Q20" s="168"/>
      <c r="R20" s="169"/>
      <c r="S20" s="180"/>
    </row>
    <row r="21" spans="1:19" ht="18.600000000000001" x14ac:dyDescent="0.4">
      <c r="B21" s="173">
        <f t="shared" si="0"/>
        <v>0.99305555555555525</v>
      </c>
      <c r="C21" s="173">
        <f t="shared" si="1"/>
        <v>1.1041666666666665</v>
      </c>
      <c r="D21" s="175">
        <v>10</v>
      </c>
      <c r="E21" s="3" t="s">
        <v>377</v>
      </c>
      <c r="F21" s="4" t="s">
        <v>387</v>
      </c>
      <c r="J21" s="213">
        <f>C27</f>
        <v>1.2291666666666661</v>
      </c>
      <c r="K21" s="214"/>
      <c r="L21" s="215">
        <f>C28</f>
        <v>1.2499999999999993</v>
      </c>
      <c r="M21" s="214"/>
      <c r="N21" s="215">
        <f>C29</f>
        <v>1.2708333333333326</v>
      </c>
      <c r="O21" s="214"/>
      <c r="P21" s="215">
        <f>C30</f>
        <v>1.2916666666666659</v>
      </c>
      <c r="Q21" s="214"/>
      <c r="R21" s="215">
        <f>C31</f>
        <v>1.3124999999999991</v>
      </c>
      <c r="S21" s="216"/>
    </row>
    <row r="22" spans="1:19" x14ac:dyDescent="0.35">
      <c r="B22" s="173">
        <f t="shared" si="0"/>
        <v>0.99999999999999967</v>
      </c>
      <c r="C22" s="173">
        <f t="shared" si="1"/>
        <v>1.1249999999999998</v>
      </c>
      <c r="D22" s="175">
        <v>10</v>
      </c>
      <c r="E22" s="3" t="s">
        <v>378</v>
      </c>
      <c r="J22" s="181"/>
      <c r="K22" s="170"/>
      <c r="L22" s="182"/>
      <c r="M22" s="170"/>
      <c r="N22" s="182"/>
      <c r="O22" s="170"/>
      <c r="P22" s="182"/>
      <c r="Q22" s="170"/>
      <c r="R22" s="182"/>
      <c r="S22" s="183"/>
    </row>
    <row r="23" spans="1:19" x14ac:dyDescent="0.35">
      <c r="A23" s="4" t="s">
        <v>397</v>
      </c>
      <c r="B23" s="173">
        <f t="shared" si="0"/>
        <v>1.0069444444444442</v>
      </c>
      <c r="C23" s="173">
        <f t="shared" si="1"/>
        <v>1.145833333333333</v>
      </c>
      <c r="D23" s="3">
        <f>D22+$B$4</f>
        <v>20</v>
      </c>
      <c r="E23" s="3" t="s">
        <v>378</v>
      </c>
      <c r="J23" s="181"/>
      <c r="K23" s="170"/>
      <c r="L23" s="182"/>
      <c r="M23" s="170"/>
      <c r="N23" s="182"/>
      <c r="O23" s="170"/>
      <c r="P23" s="182"/>
      <c r="Q23" s="170"/>
      <c r="R23" s="182"/>
      <c r="S23" s="183"/>
    </row>
    <row r="24" spans="1:19" x14ac:dyDescent="0.35">
      <c r="B24" s="173">
        <f t="shared" si="0"/>
        <v>1.0138888888888886</v>
      </c>
      <c r="C24" s="173">
        <f t="shared" si="1"/>
        <v>1.1666666666666663</v>
      </c>
      <c r="D24" s="3">
        <f>D23+$B$4</f>
        <v>30</v>
      </c>
      <c r="E24" s="3" t="s">
        <v>379</v>
      </c>
      <c r="J24" s="181"/>
      <c r="K24" s="170"/>
      <c r="L24" s="182"/>
      <c r="M24" s="170"/>
      <c r="N24" s="182"/>
      <c r="O24" s="170"/>
      <c r="P24" s="182"/>
      <c r="Q24" s="170"/>
      <c r="R24" s="182"/>
      <c r="S24" s="183"/>
    </row>
    <row r="25" spans="1:19" ht="18.600000000000001" thickBot="1" x14ac:dyDescent="0.4">
      <c r="B25" s="173">
        <f t="shared" si="0"/>
        <v>1.020833333333333</v>
      </c>
      <c r="C25" s="173">
        <f t="shared" si="1"/>
        <v>1.1874999999999996</v>
      </c>
      <c r="D25" s="3">
        <f>D24+$B$4</f>
        <v>40</v>
      </c>
      <c r="E25" s="3" t="s">
        <v>380</v>
      </c>
      <c r="J25" s="184"/>
      <c r="K25" s="185"/>
      <c r="L25" s="186"/>
      <c r="M25" s="185"/>
      <c r="N25" s="187"/>
      <c r="O25" s="185"/>
      <c r="P25" s="187"/>
      <c r="Q25" s="185"/>
      <c r="R25" s="187"/>
      <c r="S25" s="188"/>
    </row>
    <row r="26" spans="1:19" x14ac:dyDescent="0.35">
      <c r="B26" s="173">
        <f t="shared" si="0"/>
        <v>1.0277777777777775</v>
      </c>
      <c r="C26" s="173">
        <f t="shared" si="1"/>
        <v>1.2083333333333328</v>
      </c>
      <c r="D26" s="3">
        <f>D25+$B$4</f>
        <v>50</v>
      </c>
      <c r="E26" s="3" t="s">
        <v>381</v>
      </c>
      <c r="F26" s="4" t="s">
        <v>401</v>
      </c>
    </row>
    <row r="27" spans="1:19" ht="14.4" x14ac:dyDescent="0.3">
      <c r="A27" s="4" t="s">
        <v>398</v>
      </c>
      <c r="B27" s="173">
        <f t="shared" si="0"/>
        <v>1.0347222222222219</v>
      </c>
      <c r="C27" s="173">
        <f t="shared" si="1"/>
        <v>1.2291666666666661</v>
      </c>
      <c r="D27" s="3">
        <f>D26+$B$4</f>
        <v>60</v>
      </c>
      <c r="E27" s="3" t="s">
        <v>381</v>
      </c>
      <c r="F27" s="4" t="s">
        <v>400</v>
      </c>
      <c r="J27" s="4"/>
      <c r="K27" s="4"/>
      <c r="L27" s="4"/>
      <c r="M27" s="4"/>
      <c r="N27" s="4"/>
      <c r="O27" s="4"/>
      <c r="P27" s="4"/>
      <c r="Q27" s="4"/>
      <c r="R27" s="4"/>
      <c r="S27" s="4"/>
    </row>
    <row r="28" spans="1:19" ht="14.4" x14ac:dyDescent="0.3">
      <c r="B28" s="173">
        <f t="shared" si="0"/>
        <v>1.0416666666666663</v>
      </c>
      <c r="C28" s="173">
        <f t="shared" si="1"/>
        <v>1.2499999999999993</v>
      </c>
      <c r="D28" s="3">
        <v>10</v>
      </c>
      <c r="E28" s="3" t="s">
        <v>382</v>
      </c>
      <c r="F28" s="4" t="s">
        <v>745</v>
      </c>
      <c r="J28" s="172" t="s">
        <v>737</v>
      </c>
      <c r="K28" s="4"/>
      <c r="L28" s="4"/>
      <c r="M28" s="4"/>
      <c r="N28" s="4"/>
      <c r="O28" s="4"/>
      <c r="P28" s="4"/>
      <c r="Q28" s="4"/>
      <c r="R28" s="4"/>
      <c r="S28" s="4"/>
    </row>
    <row r="29" spans="1:19" ht="14.4" x14ac:dyDescent="0.3">
      <c r="B29" s="173">
        <f t="shared" si="0"/>
        <v>1.0486111111111107</v>
      </c>
      <c r="C29" s="173">
        <f t="shared" si="1"/>
        <v>1.2708333333333326</v>
      </c>
      <c r="D29" s="3">
        <f>D28+$B$4</f>
        <v>20</v>
      </c>
      <c r="E29" s="3" t="s">
        <v>382</v>
      </c>
      <c r="J29" s="172" t="s">
        <v>738</v>
      </c>
      <c r="K29" s="4"/>
      <c r="L29" s="4"/>
      <c r="M29" s="4"/>
      <c r="N29" s="4"/>
      <c r="O29" s="4"/>
      <c r="P29" s="4"/>
      <c r="Q29" s="4"/>
      <c r="R29" s="4"/>
      <c r="S29" s="4"/>
    </row>
    <row r="30" spans="1:19" ht="14.4" x14ac:dyDescent="0.3">
      <c r="B30" s="173">
        <f t="shared" si="0"/>
        <v>1.0555555555555551</v>
      </c>
      <c r="C30" s="173">
        <f t="shared" si="1"/>
        <v>1.2916666666666659</v>
      </c>
      <c r="D30" s="3">
        <v>10</v>
      </c>
      <c r="E30" s="3" t="s">
        <v>383</v>
      </c>
      <c r="F30" s="4" t="s">
        <v>388</v>
      </c>
      <c r="J30" s="172" t="s">
        <v>739</v>
      </c>
      <c r="K30" s="4"/>
      <c r="L30" s="4"/>
      <c r="M30" s="4"/>
      <c r="N30" s="4"/>
      <c r="O30" s="4"/>
      <c r="P30" s="4"/>
      <c r="Q30" s="4"/>
      <c r="R30" s="4"/>
      <c r="S30" s="4"/>
    </row>
    <row r="31" spans="1:19" ht="14.4" x14ac:dyDescent="0.3">
      <c r="A31" s="4" t="s">
        <v>393</v>
      </c>
      <c r="B31" s="173">
        <f t="shared" si="0"/>
        <v>1.0624999999999996</v>
      </c>
      <c r="C31" s="173">
        <f t="shared" si="1"/>
        <v>1.3124999999999991</v>
      </c>
      <c r="D31" s="3">
        <f>D30+$B$4</f>
        <v>20</v>
      </c>
      <c r="E31" s="3" t="s">
        <v>384</v>
      </c>
      <c r="F31" s="4" t="s">
        <v>405</v>
      </c>
      <c r="J31" s="172" t="s">
        <v>740</v>
      </c>
      <c r="K31" s="4"/>
      <c r="L31" s="4"/>
      <c r="M31" s="4"/>
      <c r="N31" s="4"/>
      <c r="O31" s="4"/>
      <c r="P31" s="4"/>
      <c r="Q31" s="4"/>
      <c r="R31" s="4"/>
      <c r="S31" s="4"/>
    </row>
    <row r="32" spans="1:19" ht="14.4" x14ac:dyDescent="0.3">
      <c r="D32" s="4"/>
      <c r="E32" s="4"/>
      <c r="J32" s="4"/>
      <c r="K32" s="4"/>
      <c r="L32" s="4"/>
      <c r="M32" s="4"/>
      <c r="N32" s="4"/>
      <c r="O32" s="4"/>
      <c r="P32" s="4"/>
      <c r="Q32" s="4"/>
      <c r="R32" s="4"/>
      <c r="S32" s="4"/>
    </row>
    <row r="33" spans="4:19" ht="14.4" x14ac:dyDescent="0.3">
      <c r="D33" s="4"/>
      <c r="E33" s="4"/>
      <c r="J33" s="4"/>
      <c r="K33" s="4"/>
      <c r="L33" s="4"/>
      <c r="M33" s="4"/>
      <c r="N33" s="4"/>
      <c r="O33" s="4"/>
      <c r="P33" s="4"/>
      <c r="Q33" s="4"/>
      <c r="R33" s="4"/>
      <c r="S33" s="4"/>
    </row>
    <row r="34" spans="4:19" ht="14.4" x14ac:dyDescent="0.3">
      <c r="D34" s="4"/>
      <c r="E34" s="4"/>
      <c r="J34" s="4" t="s">
        <v>733</v>
      </c>
      <c r="K34" s="4"/>
      <c r="L34" s="4"/>
      <c r="M34" s="4"/>
      <c r="N34" s="4"/>
      <c r="O34" s="4"/>
      <c r="P34" s="4"/>
      <c r="Q34" s="4"/>
      <c r="R34" s="4"/>
      <c r="S34" s="4"/>
    </row>
    <row r="35" spans="4:19" ht="14.4" x14ac:dyDescent="0.3">
      <c r="D35" s="4"/>
      <c r="E35" s="4"/>
      <c r="J35" s="4" t="s">
        <v>734</v>
      </c>
      <c r="K35" s="4"/>
      <c r="L35" s="4"/>
      <c r="M35" s="4"/>
      <c r="N35" s="4"/>
      <c r="O35" s="4"/>
      <c r="P35" s="4"/>
      <c r="Q35" s="4"/>
      <c r="R35" s="4"/>
      <c r="S35" s="4"/>
    </row>
    <row r="36" spans="4:19" ht="14.4" x14ac:dyDescent="0.3">
      <c r="D36" s="4"/>
      <c r="E36" s="4"/>
      <c r="J36" s="4" t="s">
        <v>735</v>
      </c>
      <c r="K36" s="4"/>
      <c r="L36" s="4"/>
      <c r="M36" s="4"/>
      <c r="N36" s="4"/>
      <c r="O36" s="4"/>
      <c r="P36" s="4"/>
      <c r="Q36" s="4"/>
      <c r="R36" s="4"/>
      <c r="S36" s="4"/>
    </row>
    <row r="37" spans="4:19" ht="14.4" x14ac:dyDescent="0.3">
      <c r="D37" s="4"/>
      <c r="E37" s="4"/>
      <c r="J37" s="4" t="s">
        <v>736</v>
      </c>
      <c r="K37" s="4"/>
      <c r="L37" s="4"/>
      <c r="M37" s="4"/>
      <c r="N37" s="4"/>
      <c r="O37" s="4"/>
      <c r="P37" s="4"/>
      <c r="Q37" s="4"/>
      <c r="R37" s="4"/>
      <c r="S37" s="4"/>
    </row>
    <row r="38" spans="4:19" ht="14.4" x14ac:dyDescent="0.3">
      <c r="D38" s="4"/>
      <c r="E38" s="4"/>
      <c r="J38" s="4"/>
      <c r="K38" s="4"/>
      <c r="L38" s="4"/>
      <c r="M38" s="4"/>
      <c r="N38" s="4"/>
      <c r="O38" s="4"/>
      <c r="P38" s="4"/>
      <c r="Q38" s="4"/>
      <c r="R38" s="4"/>
      <c r="S38" s="4"/>
    </row>
    <row r="39" spans="4:19" ht="14.4" x14ac:dyDescent="0.3">
      <c r="D39" s="4"/>
      <c r="E39" s="4"/>
      <c r="J39" s="4"/>
      <c r="K39" s="4"/>
      <c r="L39" s="4"/>
      <c r="M39" s="4"/>
      <c r="N39" s="4"/>
      <c r="O39" s="4"/>
      <c r="P39" s="4"/>
      <c r="Q39" s="4"/>
      <c r="R39" s="4"/>
      <c r="S39" s="4"/>
    </row>
    <row r="40" spans="4:19" ht="14.4" x14ac:dyDescent="0.3">
      <c r="D40" s="4"/>
      <c r="E40" s="4"/>
      <c r="J40" s="4" t="s">
        <v>741</v>
      </c>
      <c r="K40" s="4"/>
      <c r="L40" s="4"/>
      <c r="M40" s="4"/>
      <c r="N40" s="4"/>
      <c r="O40" s="4"/>
      <c r="P40" s="4"/>
      <c r="Q40" s="4"/>
      <c r="R40" s="4"/>
      <c r="S40" s="4"/>
    </row>
    <row r="41" spans="4:19" ht="14.4" x14ac:dyDescent="0.3">
      <c r="D41" s="4"/>
      <c r="E41" s="4"/>
      <c r="J41" s="4" t="s">
        <v>742</v>
      </c>
      <c r="K41" s="4"/>
      <c r="L41" s="4"/>
      <c r="M41" s="4"/>
      <c r="N41" s="4"/>
      <c r="O41" s="4"/>
      <c r="P41" s="4"/>
      <c r="Q41" s="4"/>
      <c r="R41" s="4"/>
      <c r="S41" s="4"/>
    </row>
    <row r="42" spans="4:19" ht="14.4" x14ac:dyDescent="0.3">
      <c r="D42" s="4"/>
      <c r="E42" s="4"/>
      <c r="J42" s="4" t="s">
        <v>743</v>
      </c>
      <c r="K42" s="4"/>
      <c r="L42" s="4"/>
      <c r="M42" s="4"/>
      <c r="N42" s="4"/>
      <c r="O42" s="4"/>
      <c r="P42" s="4"/>
      <c r="Q42" s="4"/>
      <c r="R42" s="4"/>
      <c r="S42" s="4"/>
    </row>
    <row r="43" spans="4:19" ht="14.4" x14ac:dyDescent="0.3">
      <c r="D43" s="4"/>
      <c r="E43" s="4"/>
      <c r="J43" s="4" t="s">
        <v>744</v>
      </c>
      <c r="K43" s="4"/>
      <c r="L43" s="4"/>
      <c r="M43" s="4"/>
      <c r="N43" s="4"/>
      <c r="O43" s="4"/>
      <c r="P43" s="4"/>
      <c r="Q43" s="4"/>
      <c r="R43" s="4"/>
      <c r="S43" s="4"/>
    </row>
    <row r="44" spans="4:19" ht="14.4" x14ac:dyDescent="0.3">
      <c r="D44" s="4"/>
      <c r="E44" s="4"/>
      <c r="J44" s="4"/>
      <c r="K44" s="4"/>
      <c r="L44" s="4"/>
      <c r="M44" s="4"/>
      <c r="N44" s="4"/>
      <c r="O44" s="4"/>
      <c r="P44" s="4"/>
      <c r="Q44" s="4"/>
      <c r="R44" s="4"/>
      <c r="S44" s="4"/>
    </row>
    <row r="45" spans="4:19" ht="14.4" x14ac:dyDescent="0.3">
      <c r="D45" s="4"/>
      <c r="E45" s="4"/>
      <c r="J45" s="4"/>
      <c r="K45" s="4"/>
      <c r="L45" s="4"/>
      <c r="M45" s="4"/>
      <c r="N45" s="4"/>
      <c r="O45" s="4"/>
      <c r="P45" s="4"/>
      <c r="Q45" s="4"/>
      <c r="R45" s="4"/>
      <c r="S45" s="4"/>
    </row>
    <row r="46" spans="4:19" ht="14.4" x14ac:dyDescent="0.3">
      <c r="D46" s="4"/>
      <c r="E46" s="4"/>
      <c r="J46" s="4"/>
      <c r="K46" s="4"/>
      <c r="L46" s="4"/>
      <c r="M46" s="4"/>
      <c r="N46" s="4"/>
      <c r="O46" s="4"/>
      <c r="P46" s="4"/>
      <c r="Q46" s="4"/>
      <c r="R46" s="4"/>
      <c r="S46" s="4"/>
    </row>
    <row r="47" spans="4:19" ht="14.4" x14ac:dyDescent="0.3">
      <c r="D47" s="4"/>
      <c r="E47" s="4"/>
      <c r="J47" s="4"/>
      <c r="K47" s="4"/>
      <c r="L47" s="4"/>
      <c r="M47" s="4"/>
      <c r="N47" s="4"/>
      <c r="O47" s="4"/>
      <c r="P47" s="4"/>
      <c r="Q47" s="4"/>
      <c r="R47" s="4"/>
      <c r="S47" s="4"/>
    </row>
    <row r="48" spans="4:19" ht="14.4" x14ac:dyDescent="0.3">
      <c r="D48" s="4"/>
      <c r="E48" s="4"/>
      <c r="J48" s="4"/>
      <c r="K48" s="4"/>
      <c r="L48" s="4"/>
      <c r="M48" s="4"/>
      <c r="N48" s="4"/>
      <c r="O48" s="4"/>
      <c r="P48" s="4"/>
      <c r="Q48" s="4"/>
      <c r="R48" s="4"/>
      <c r="S48" s="4"/>
    </row>
    <row r="49" spans="4:19" ht="14.4" x14ac:dyDescent="0.3">
      <c r="D49" s="4"/>
      <c r="E49" s="4"/>
      <c r="J49" s="4"/>
      <c r="K49" s="4"/>
      <c r="L49" s="4"/>
      <c r="M49" s="4"/>
      <c r="N49" s="4"/>
      <c r="O49" s="4"/>
      <c r="P49" s="4"/>
      <c r="Q49" s="4"/>
      <c r="R49" s="4"/>
      <c r="S49" s="4"/>
    </row>
    <row r="50" spans="4:19" ht="14.4" x14ac:dyDescent="0.3">
      <c r="D50" s="4"/>
      <c r="E50" s="4"/>
      <c r="J50" s="4"/>
      <c r="K50" s="4"/>
      <c r="L50" s="4"/>
      <c r="M50" s="4"/>
      <c r="N50" s="4"/>
      <c r="O50" s="4"/>
      <c r="P50" s="4"/>
      <c r="Q50" s="4"/>
      <c r="R50" s="4"/>
      <c r="S50" s="4"/>
    </row>
    <row r="51" spans="4:19" ht="14.4" x14ac:dyDescent="0.3">
      <c r="D51" s="4"/>
      <c r="E51" s="4"/>
      <c r="J51" s="4"/>
      <c r="K51" s="4"/>
      <c r="L51" s="4"/>
      <c r="M51" s="4"/>
      <c r="N51" s="4"/>
      <c r="O51" s="4"/>
      <c r="P51" s="4"/>
      <c r="Q51" s="4"/>
      <c r="R51" s="4"/>
      <c r="S51" s="4"/>
    </row>
    <row r="52" spans="4:19" ht="14.4" x14ac:dyDescent="0.3">
      <c r="D52" s="4"/>
      <c r="E52" s="4"/>
      <c r="J52" s="4"/>
      <c r="K52" s="4"/>
      <c r="L52" s="4"/>
      <c r="M52" s="4"/>
      <c r="N52" s="4"/>
      <c r="O52" s="4"/>
      <c r="P52" s="4"/>
      <c r="Q52" s="4"/>
      <c r="R52" s="4"/>
      <c r="S52" s="4"/>
    </row>
    <row r="53" spans="4:19" ht="14.4" x14ac:dyDescent="0.3">
      <c r="D53" s="4"/>
      <c r="E53" s="4"/>
      <c r="J53" s="4"/>
      <c r="K53" s="4"/>
      <c r="L53" s="4"/>
      <c r="M53" s="4"/>
      <c r="N53" s="4"/>
      <c r="O53" s="4"/>
      <c r="P53" s="4"/>
      <c r="Q53" s="4"/>
      <c r="R53" s="4"/>
      <c r="S53" s="4"/>
    </row>
    <row r="54" spans="4:19" ht="14.4" x14ac:dyDescent="0.3">
      <c r="D54" s="4"/>
      <c r="E54" s="4"/>
      <c r="J54" s="4"/>
      <c r="K54" s="4"/>
      <c r="L54" s="4"/>
      <c r="M54" s="4"/>
      <c r="N54" s="4"/>
      <c r="O54" s="4"/>
      <c r="P54" s="4"/>
      <c r="Q54" s="4"/>
      <c r="R54" s="4"/>
      <c r="S54" s="4"/>
    </row>
    <row r="55" spans="4:19" ht="14.4" x14ac:dyDescent="0.3">
      <c r="D55" s="4"/>
      <c r="E55" s="4"/>
      <c r="J55" s="4"/>
      <c r="K55" s="4"/>
      <c r="L55" s="4"/>
      <c r="M55" s="4"/>
      <c r="N55" s="4"/>
      <c r="O55" s="4"/>
      <c r="P55" s="4"/>
      <c r="Q55" s="4"/>
      <c r="R55" s="4"/>
      <c r="S55" s="4"/>
    </row>
    <row r="56" spans="4:19" ht="14.4" x14ac:dyDescent="0.3">
      <c r="D56" s="4"/>
      <c r="E56" s="4"/>
      <c r="J56" s="4"/>
      <c r="K56" s="4"/>
      <c r="L56" s="4"/>
      <c r="M56" s="4"/>
      <c r="N56" s="4"/>
      <c r="O56" s="4"/>
      <c r="P56" s="4"/>
      <c r="Q56" s="4"/>
      <c r="R56" s="4"/>
      <c r="S56" s="4"/>
    </row>
    <row r="57" spans="4:19" ht="14.4" x14ac:dyDescent="0.3">
      <c r="D57" s="4"/>
      <c r="E57" s="4"/>
      <c r="J57" s="4"/>
      <c r="K57" s="4"/>
      <c r="L57" s="4"/>
      <c r="M57" s="4"/>
      <c r="N57" s="4"/>
      <c r="O57" s="4"/>
      <c r="P57" s="4"/>
      <c r="Q57" s="4"/>
      <c r="R57" s="4"/>
      <c r="S57" s="4"/>
    </row>
    <row r="58" spans="4:19" ht="14.4" x14ac:dyDescent="0.3">
      <c r="D58" s="4"/>
      <c r="E58" s="4"/>
      <c r="J58" s="4"/>
      <c r="K58" s="4"/>
      <c r="L58" s="4"/>
      <c r="M58" s="4"/>
      <c r="N58" s="4"/>
      <c r="O58" s="4"/>
      <c r="P58" s="4"/>
      <c r="Q58" s="4"/>
      <c r="R58" s="4"/>
      <c r="S58" s="4"/>
    </row>
    <row r="59" spans="4:19" ht="14.4" x14ac:dyDescent="0.3">
      <c r="D59" s="4"/>
      <c r="E59" s="4"/>
      <c r="J59" s="4"/>
      <c r="K59" s="4"/>
      <c r="L59" s="4"/>
      <c r="M59" s="4"/>
      <c r="N59" s="4"/>
      <c r="O59" s="4"/>
      <c r="P59" s="4"/>
      <c r="Q59" s="4"/>
      <c r="R59" s="4"/>
      <c r="S59" s="4"/>
    </row>
    <row r="60" spans="4:19" ht="14.4" x14ac:dyDescent="0.3">
      <c r="D60" s="4"/>
      <c r="E60" s="4"/>
      <c r="J60" s="4"/>
      <c r="K60" s="4"/>
      <c r="L60" s="4"/>
      <c r="M60" s="4"/>
      <c r="N60" s="4"/>
      <c r="O60" s="4"/>
      <c r="P60" s="4"/>
      <c r="Q60" s="4"/>
      <c r="R60" s="4"/>
      <c r="S60" s="4"/>
    </row>
    <row r="61" spans="4:19" ht="14.4" x14ac:dyDescent="0.3">
      <c r="D61" s="4"/>
      <c r="E61" s="4"/>
      <c r="J61" s="4"/>
      <c r="K61" s="4"/>
      <c r="L61" s="4"/>
      <c r="M61" s="4"/>
      <c r="N61" s="4"/>
      <c r="O61" s="4"/>
      <c r="P61" s="4"/>
      <c r="Q61" s="4"/>
      <c r="R61" s="4"/>
      <c r="S61" s="4"/>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9" type="noConversion"/>
  <pageMargins left="0.7" right="0.7" top="0.75" bottom="0.75" header="0.3" footer="0.3"/>
  <pageSetup paperSize="9" scale="45"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37" customWidth="1"/>
    <col min="2" max="2" width="11.109375" style="37" customWidth="1"/>
    <col min="3" max="3" width="2.6640625" style="37" customWidth="1"/>
    <col min="4" max="17" width="7.5546875" style="37" customWidth="1"/>
    <col min="18" max="16384" width="8.88671875" style="37"/>
  </cols>
  <sheetData>
    <row r="1" spans="2:14" x14ac:dyDescent="0.3">
      <c r="H1" s="18" t="s">
        <v>193</v>
      </c>
    </row>
    <row r="2" spans="2:14" x14ac:dyDescent="0.3">
      <c r="C2" s="39"/>
      <c r="D2" s="45">
        <v>1</v>
      </c>
      <c r="E2" s="45">
        <v>2</v>
      </c>
      <c r="F2" s="45">
        <v>3</v>
      </c>
      <c r="G2" s="45">
        <v>4</v>
      </c>
      <c r="H2" s="45">
        <v>5</v>
      </c>
      <c r="I2" s="45">
        <v>6</v>
      </c>
      <c r="J2" s="45">
        <v>7</v>
      </c>
      <c r="K2" s="45">
        <v>8</v>
      </c>
      <c r="L2" s="45">
        <v>9</v>
      </c>
      <c r="M2" s="45">
        <v>10</v>
      </c>
    </row>
    <row r="3" spans="2:14" ht="18" x14ac:dyDescent="0.3">
      <c r="B3" s="18" t="s">
        <v>194</v>
      </c>
      <c r="C3" s="39"/>
      <c r="D3" s="36">
        <f ca="1">RANDBETWEEN(1,10)</f>
        <v>8</v>
      </c>
      <c r="E3" s="36">
        <f t="shared" ref="E3:M3" ca="1" si="0">RANDBETWEEN(1,10)</f>
        <v>8</v>
      </c>
      <c r="F3" s="36">
        <f t="shared" ca="1" si="0"/>
        <v>8</v>
      </c>
      <c r="G3" s="36">
        <f t="shared" ca="1" si="0"/>
        <v>10</v>
      </c>
      <c r="H3" s="36">
        <f t="shared" ca="1" si="0"/>
        <v>7</v>
      </c>
      <c r="I3" s="36">
        <f t="shared" ca="1" si="0"/>
        <v>2</v>
      </c>
      <c r="J3" s="36">
        <f t="shared" ca="1" si="0"/>
        <v>7</v>
      </c>
      <c r="K3" s="36">
        <f t="shared" ca="1" si="0"/>
        <v>8</v>
      </c>
      <c r="L3" s="36">
        <f t="shared" ca="1" si="0"/>
        <v>5</v>
      </c>
      <c r="M3" s="36">
        <f t="shared" ca="1" si="0"/>
        <v>2</v>
      </c>
      <c r="N3" s="36"/>
    </row>
    <row r="4" spans="2:14" x14ac:dyDescent="0.3">
      <c r="B4" s="18" t="s">
        <v>192</v>
      </c>
      <c r="C4" s="39"/>
      <c r="D4" s="39"/>
      <c r="E4" s="39"/>
      <c r="F4" s="39"/>
      <c r="G4" s="39"/>
      <c r="H4" s="39"/>
      <c r="I4" s="39"/>
      <c r="J4" s="39"/>
      <c r="K4" s="39"/>
      <c r="L4" s="39"/>
      <c r="M4" s="39"/>
    </row>
    <row r="5" spans="2:14" x14ac:dyDescent="0.3">
      <c r="B5" s="44">
        <v>2</v>
      </c>
      <c r="C5" s="39"/>
      <c r="D5" s="38">
        <f ca="1">IF(D$3&gt;=$B5,1,0)+IF(D$3=1,-1,0)</f>
        <v>1</v>
      </c>
      <c r="E5" s="38">
        <f ca="1">IF(E$3&gt;=$B5,1,0)+D5+IF(E$3=1,-1,0)</f>
        <v>2</v>
      </c>
      <c r="F5" s="38">
        <f t="shared" ref="F5:M5" ca="1" si="1">IF(F$3&gt;=$B5,1,0)+E5+IF(F$3=1,-1,0)</f>
        <v>3</v>
      </c>
      <c r="G5" s="38">
        <f t="shared" ca="1" si="1"/>
        <v>4</v>
      </c>
      <c r="H5" s="38">
        <f t="shared" ca="1" si="1"/>
        <v>5</v>
      </c>
      <c r="I5" s="38">
        <f t="shared" ca="1" si="1"/>
        <v>6</v>
      </c>
      <c r="J5" s="38">
        <f t="shared" ca="1" si="1"/>
        <v>7</v>
      </c>
      <c r="K5" s="38">
        <f t="shared" ca="1" si="1"/>
        <v>8</v>
      </c>
      <c r="L5" s="38">
        <f t="shared" ca="1" si="1"/>
        <v>9</v>
      </c>
      <c r="M5" s="38">
        <f t="shared" ca="1" si="1"/>
        <v>10</v>
      </c>
    </row>
    <row r="6" spans="2:14" x14ac:dyDescent="0.3">
      <c r="B6" s="44">
        <v>3</v>
      </c>
      <c r="C6" s="39"/>
      <c r="D6" s="38">
        <f t="shared" ref="D6:D13" ca="1" si="2">IF(D$3&gt;=$B6,1,0)+IF(D$3=1,-1,0)</f>
        <v>1</v>
      </c>
      <c r="E6" s="38">
        <f t="shared" ref="E6:M13" ca="1" si="3">IF(E$3&gt;=$B6,1,0)+D6+IF(E$3=1,-1,0)</f>
        <v>2</v>
      </c>
      <c r="F6" s="38">
        <f t="shared" ca="1" si="3"/>
        <v>3</v>
      </c>
      <c r="G6" s="38">
        <f t="shared" ca="1" si="3"/>
        <v>4</v>
      </c>
      <c r="H6" s="38">
        <f t="shared" ca="1" si="3"/>
        <v>5</v>
      </c>
      <c r="I6" s="38">
        <f t="shared" ca="1" si="3"/>
        <v>5</v>
      </c>
      <c r="J6" s="38">
        <f t="shared" ca="1" si="3"/>
        <v>6</v>
      </c>
      <c r="K6" s="38">
        <f t="shared" ca="1" si="3"/>
        <v>7</v>
      </c>
      <c r="L6" s="38">
        <f t="shared" ca="1" si="3"/>
        <v>8</v>
      </c>
      <c r="M6" s="38">
        <f t="shared" ca="1" si="3"/>
        <v>8</v>
      </c>
    </row>
    <row r="7" spans="2:14" x14ac:dyDescent="0.3">
      <c r="B7" s="44">
        <v>4</v>
      </c>
      <c r="C7" s="39"/>
      <c r="D7" s="38">
        <f t="shared" ca="1" si="2"/>
        <v>1</v>
      </c>
      <c r="E7" s="38">
        <f t="shared" ca="1" si="3"/>
        <v>2</v>
      </c>
      <c r="F7" s="38">
        <f t="shared" ca="1" si="3"/>
        <v>3</v>
      </c>
      <c r="G7" s="38">
        <f t="shared" ca="1" si="3"/>
        <v>4</v>
      </c>
      <c r="H7" s="38">
        <f t="shared" ca="1" si="3"/>
        <v>5</v>
      </c>
      <c r="I7" s="38">
        <f t="shared" ca="1" si="3"/>
        <v>5</v>
      </c>
      <c r="J7" s="38">
        <f t="shared" ca="1" si="3"/>
        <v>6</v>
      </c>
      <c r="K7" s="38">
        <f t="shared" ca="1" si="3"/>
        <v>7</v>
      </c>
      <c r="L7" s="38">
        <f t="shared" ca="1" si="3"/>
        <v>8</v>
      </c>
      <c r="M7" s="38">
        <f t="shared" ca="1" si="3"/>
        <v>8</v>
      </c>
    </row>
    <row r="8" spans="2:14" x14ac:dyDescent="0.3">
      <c r="B8" s="44">
        <v>5</v>
      </c>
      <c r="C8" s="39"/>
      <c r="D8" s="38">
        <f t="shared" ca="1" si="2"/>
        <v>1</v>
      </c>
      <c r="E8" s="38">
        <f t="shared" ca="1" si="3"/>
        <v>2</v>
      </c>
      <c r="F8" s="38">
        <f t="shared" ca="1" si="3"/>
        <v>3</v>
      </c>
      <c r="G8" s="38">
        <f t="shared" ca="1" si="3"/>
        <v>4</v>
      </c>
      <c r="H8" s="38">
        <f t="shared" ca="1" si="3"/>
        <v>5</v>
      </c>
      <c r="I8" s="38">
        <f t="shared" ca="1" si="3"/>
        <v>5</v>
      </c>
      <c r="J8" s="38">
        <f t="shared" ca="1" si="3"/>
        <v>6</v>
      </c>
      <c r="K8" s="38">
        <f t="shared" ca="1" si="3"/>
        <v>7</v>
      </c>
      <c r="L8" s="38">
        <f t="shared" ca="1" si="3"/>
        <v>8</v>
      </c>
      <c r="M8" s="38">
        <f t="shared" ca="1" si="3"/>
        <v>8</v>
      </c>
    </row>
    <row r="9" spans="2:14" x14ac:dyDescent="0.3">
      <c r="B9" s="44">
        <v>6</v>
      </c>
      <c r="C9" s="39"/>
      <c r="D9" s="38">
        <f t="shared" ca="1" si="2"/>
        <v>1</v>
      </c>
      <c r="E9" s="38">
        <f t="shared" ca="1" si="3"/>
        <v>2</v>
      </c>
      <c r="F9" s="38">
        <f t="shared" ca="1" si="3"/>
        <v>3</v>
      </c>
      <c r="G9" s="38">
        <f t="shared" ca="1" si="3"/>
        <v>4</v>
      </c>
      <c r="H9" s="38">
        <f t="shared" ca="1" si="3"/>
        <v>5</v>
      </c>
      <c r="I9" s="38">
        <f t="shared" ca="1" si="3"/>
        <v>5</v>
      </c>
      <c r="J9" s="38">
        <f t="shared" ca="1" si="3"/>
        <v>6</v>
      </c>
      <c r="K9" s="38">
        <f t="shared" ca="1" si="3"/>
        <v>7</v>
      </c>
      <c r="L9" s="38">
        <f t="shared" ca="1" si="3"/>
        <v>7</v>
      </c>
      <c r="M9" s="38">
        <f t="shared" ca="1" si="3"/>
        <v>7</v>
      </c>
    </row>
    <row r="10" spans="2:14" x14ac:dyDescent="0.3">
      <c r="B10" s="44">
        <v>7</v>
      </c>
      <c r="C10" s="39"/>
      <c r="D10" s="38">
        <f t="shared" ca="1" si="2"/>
        <v>1</v>
      </c>
      <c r="E10" s="38">
        <f t="shared" ca="1" si="3"/>
        <v>2</v>
      </c>
      <c r="F10" s="38">
        <f t="shared" ca="1" si="3"/>
        <v>3</v>
      </c>
      <c r="G10" s="38">
        <f t="shared" ca="1" si="3"/>
        <v>4</v>
      </c>
      <c r="H10" s="38">
        <f t="shared" ca="1" si="3"/>
        <v>5</v>
      </c>
      <c r="I10" s="38">
        <f t="shared" ca="1" si="3"/>
        <v>5</v>
      </c>
      <c r="J10" s="38">
        <f t="shared" ca="1" si="3"/>
        <v>6</v>
      </c>
      <c r="K10" s="38">
        <f t="shared" ca="1" si="3"/>
        <v>7</v>
      </c>
      <c r="L10" s="38">
        <f t="shared" ca="1" si="3"/>
        <v>7</v>
      </c>
      <c r="M10" s="38">
        <f t="shared" ca="1" si="3"/>
        <v>7</v>
      </c>
    </row>
    <row r="11" spans="2:14" x14ac:dyDescent="0.3">
      <c r="B11" s="44">
        <v>8</v>
      </c>
      <c r="C11" s="39"/>
      <c r="D11" s="38">
        <f t="shared" ca="1" si="2"/>
        <v>1</v>
      </c>
      <c r="E11" s="38">
        <f t="shared" ca="1" si="3"/>
        <v>2</v>
      </c>
      <c r="F11" s="38">
        <f t="shared" ca="1" si="3"/>
        <v>3</v>
      </c>
      <c r="G11" s="38">
        <f t="shared" ca="1" si="3"/>
        <v>4</v>
      </c>
      <c r="H11" s="38">
        <f t="shared" ca="1" si="3"/>
        <v>4</v>
      </c>
      <c r="I11" s="38">
        <f t="shared" ca="1" si="3"/>
        <v>4</v>
      </c>
      <c r="J11" s="38">
        <f t="shared" ca="1" si="3"/>
        <v>4</v>
      </c>
      <c r="K11" s="38">
        <f t="shared" ca="1" si="3"/>
        <v>5</v>
      </c>
      <c r="L11" s="38">
        <f t="shared" ca="1" si="3"/>
        <v>5</v>
      </c>
      <c r="M11" s="38">
        <f t="shared" ca="1" si="3"/>
        <v>5</v>
      </c>
    </row>
    <row r="12" spans="2:14" x14ac:dyDescent="0.3">
      <c r="B12" s="44">
        <v>9</v>
      </c>
      <c r="C12" s="39"/>
      <c r="D12" s="38">
        <f t="shared" ca="1" si="2"/>
        <v>0</v>
      </c>
      <c r="E12" s="38">
        <f t="shared" ca="1" si="3"/>
        <v>0</v>
      </c>
      <c r="F12" s="38">
        <f t="shared" ca="1" si="3"/>
        <v>0</v>
      </c>
      <c r="G12" s="38">
        <f t="shared" ca="1" si="3"/>
        <v>1</v>
      </c>
      <c r="H12" s="38">
        <f t="shared" ca="1" si="3"/>
        <v>1</v>
      </c>
      <c r="I12" s="38">
        <f t="shared" ca="1" si="3"/>
        <v>1</v>
      </c>
      <c r="J12" s="38">
        <f t="shared" ca="1" si="3"/>
        <v>1</v>
      </c>
      <c r="K12" s="38">
        <f t="shared" ca="1" si="3"/>
        <v>1</v>
      </c>
      <c r="L12" s="38">
        <f t="shared" ca="1" si="3"/>
        <v>1</v>
      </c>
      <c r="M12" s="38">
        <f t="shared" ca="1" si="3"/>
        <v>1</v>
      </c>
    </row>
    <row r="13" spans="2:14" x14ac:dyDescent="0.3">
      <c r="B13" s="44">
        <v>10</v>
      </c>
      <c r="C13" s="39"/>
      <c r="D13" s="38">
        <f t="shared" ca="1" si="2"/>
        <v>0</v>
      </c>
      <c r="E13" s="38">
        <f t="shared" ca="1" si="3"/>
        <v>0</v>
      </c>
      <c r="F13" s="38">
        <f t="shared" ca="1" si="3"/>
        <v>0</v>
      </c>
      <c r="G13" s="38">
        <f t="shared" ca="1" si="3"/>
        <v>1</v>
      </c>
      <c r="H13" s="38">
        <f t="shared" ca="1" si="3"/>
        <v>1</v>
      </c>
      <c r="I13" s="38">
        <f t="shared" ca="1" si="3"/>
        <v>1</v>
      </c>
      <c r="J13" s="38">
        <f t="shared" ca="1" si="3"/>
        <v>1</v>
      </c>
      <c r="K13" s="38">
        <f t="shared" ca="1" si="3"/>
        <v>1</v>
      </c>
      <c r="L13" s="38">
        <f t="shared" ca="1" si="3"/>
        <v>1</v>
      </c>
      <c r="M13" s="38">
        <f t="shared" ca="1" si="3"/>
        <v>1</v>
      </c>
    </row>
    <row r="15" spans="2:14" x14ac:dyDescent="0.3">
      <c r="D15" s="38" t="s">
        <v>196</v>
      </c>
      <c r="E15" s="38" t="s">
        <v>197</v>
      </c>
      <c r="G15" s="38" t="s">
        <v>195</v>
      </c>
    </row>
    <row r="16" spans="2:14" ht="21" x14ac:dyDescent="0.3">
      <c r="D16" s="43">
        <v>8</v>
      </c>
      <c r="E16" s="40">
        <v>7</v>
      </c>
      <c r="G16" s="41" cm="1">
        <f t="array" aca="1" ref="G16" ca="1">INDIRECT(ADDRESS(E16+3,D16+3,1))</f>
        <v>7</v>
      </c>
    </row>
    <row r="17" spans="4:7" ht="8.4" customHeight="1" x14ac:dyDescent="0.3">
      <c r="G17" s="41"/>
    </row>
    <row r="18" spans="4:7" ht="15.6" x14ac:dyDescent="0.3">
      <c r="D18" s="38">
        <v>4</v>
      </c>
      <c r="E18" s="38">
        <v>6</v>
      </c>
      <c r="F18" s="38"/>
      <c r="G18" s="42" cm="1">
        <f t="array" aca="1" ref="G18" ca="1">INDIRECT(ADDRESS(E18+3,D18+3,1))</f>
        <v>4</v>
      </c>
    </row>
    <row r="19" spans="4:7" ht="15.6" x14ac:dyDescent="0.3">
      <c r="D19" s="38">
        <v>5</v>
      </c>
      <c r="E19" s="38">
        <v>6</v>
      </c>
      <c r="F19" s="38"/>
      <c r="G19" s="42" cm="1">
        <f t="array" aca="1" ref="G19" ca="1">INDIRECT(ADDRESS(E19+3,D19+3,1))</f>
        <v>5</v>
      </c>
    </row>
    <row r="20" spans="4:7" ht="15.6" x14ac:dyDescent="0.3">
      <c r="D20" s="38">
        <v>6</v>
      </c>
      <c r="E20" s="38">
        <v>6</v>
      </c>
      <c r="F20" s="38"/>
      <c r="G20" s="42" cm="1">
        <f t="array" aca="1" ref="G20" ca="1">INDIRECT(ADDRESS(E20+3,D20+3,1))</f>
        <v>5</v>
      </c>
    </row>
    <row r="21" spans="4:7" ht="15.6" x14ac:dyDescent="0.3">
      <c r="D21" s="38">
        <v>7</v>
      </c>
      <c r="E21" s="38">
        <v>6</v>
      </c>
      <c r="F21" s="38"/>
      <c r="G21" s="42" cm="1">
        <f t="array" aca="1" ref="G21" ca="1">INDIRECT(ADDRESS(E21+3,D21+3,1))</f>
        <v>6</v>
      </c>
    </row>
    <row r="22" spans="4:7" ht="15.6" x14ac:dyDescent="0.3">
      <c r="D22" s="38">
        <v>8</v>
      </c>
      <c r="E22" s="38">
        <v>6</v>
      </c>
      <c r="F22" s="38"/>
      <c r="G22" s="42" cm="1">
        <f t="array" aca="1" ref="G22" ca="1">INDIRECT(ADDRESS(E22+3,D22+3,1))</f>
        <v>7</v>
      </c>
    </row>
    <row r="23" spans="4:7" ht="15.6" x14ac:dyDescent="0.3">
      <c r="D23" s="38">
        <v>9</v>
      </c>
      <c r="E23" s="38">
        <v>6</v>
      </c>
      <c r="F23" s="38"/>
      <c r="G23" s="42" cm="1">
        <f t="array" aca="1" ref="G23" ca="1">INDIRECT(ADDRESS(E23+3,D23+3,1))</f>
        <v>7</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182"/>
  </cols>
  <sheetData>
    <row r="2" spans="1:2" x14ac:dyDescent="0.35">
      <c r="A2" t="s">
        <v>199</v>
      </c>
    </row>
    <row r="3" spans="1:2" x14ac:dyDescent="0.35">
      <c r="B3" s="182" t="s">
        <v>198</v>
      </c>
    </row>
    <row r="4" spans="1:2" x14ac:dyDescent="0.35">
      <c r="B4" s="182" t="s">
        <v>200</v>
      </c>
    </row>
    <row r="5" spans="1:2" x14ac:dyDescent="0.35">
      <c r="B5" s="182" t="s">
        <v>201</v>
      </c>
    </row>
    <row r="9" spans="1:2" x14ac:dyDescent="0.3">
      <c r="B9" s="196" t="s">
        <v>471</v>
      </c>
    </row>
    <row r="10" spans="1:2" x14ac:dyDescent="0.3">
      <c r="B10" s="196" t="s">
        <v>472</v>
      </c>
    </row>
    <row r="11" spans="1:2" x14ac:dyDescent="0.3">
      <c r="B11" s="196" t="s">
        <v>473</v>
      </c>
    </row>
    <row r="12" spans="1:2" x14ac:dyDescent="0.3">
      <c r="B12" s="196" t="s">
        <v>474</v>
      </c>
    </row>
    <row r="13" spans="1:2" x14ac:dyDescent="0.3">
      <c r="B13" s="196" t="s">
        <v>475</v>
      </c>
    </row>
    <row r="14" spans="1:2" x14ac:dyDescent="0.3">
      <c r="B14" s="196" t="s">
        <v>476</v>
      </c>
    </row>
    <row r="15" spans="1:2" x14ac:dyDescent="0.3">
      <c r="B15" s="196" t="s">
        <v>477</v>
      </c>
    </row>
    <row r="16" spans="1:2" x14ac:dyDescent="0.3">
      <c r="B16" s="196" t="s">
        <v>478</v>
      </c>
    </row>
    <row r="17" spans="2:2" x14ac:dyDescent="0.3">
      <c r="B17" s="196" t="s">
        <v>479</v>
      </c>
    </row>
    <row r="18" spans="2:2" x14ac:dyDescent="0.3">
      <c r="B18" s="196" t="s">
        <v>480</v>
      </c>
    </row>
    <row r="19" spans="2:2" x14ac:dyDescent="0.3">
      <c r="B19" s="196" t="s">
        <v>481</v>
      </c>
    </row>
    <row r="20" spans="2:2" x14ac:dyDescent="0.3">
      <c r="B20" s="196" t="s">
        <v>482</v>
      </c>
    </row>
    <row r="21" spans="2:2" x14ac:dyDescent="0.3">
      <c r="B21" s="196" t="s">
        <v>483</v>
      </c>
    </row>
    <row r="22" spans="2:2" x14ac:dyDescent="0.3">
      <c r="B22" s="196" t="s">
        <v>484</v>
      </c>
    </row>
    <row r="23" spans="2:2" x14ac:dyDescent="0.3">
      <c r="B23" s="196" t="s">
        <v>485</v>
      </c>
    </row>
    <row r="24" spans="2:2" x14ac:dyDescent="0.3">
      <c r="B24" s="196" t="s">
        <v>486</v>
      </c>
    </row>
    <row r="25" spans="2:2" x14ac:dyDescent="0.3">
      <c r="B25" s="196" t="s">
        <v>487</v>
      </c>
    </row>
    <row r="26" spans="2:2" x14ac:dyDescent="0.3">
      <c r="B26" s="196" t="s">
        <v>488</v>
      </c>
    </row>
    <row r="27" spans="2:2" x14ac:dyDescent="0.3">
      <c r="B27" s="196" t="s">
        <v>489</v>
      </c>
    </row>
    <row r="28" spans="2:2" x14ac:dyDescent="0.3">
      <c r="B28" s="196" t="s">
        <v>490</v>
      </c>
    </row>
    <row r="29" spans="2:2" x14ac:dyDescent="0.3">
      <c r="B29" s="196" t="s">
        <v>491</v>
      </c>
    </row>
    <row r="30" spans="2:2" x14ac:dyDescent="0.3">
      <c r="B30" s="196" t="s">
        <v>492</v>
      </c>
    </row>
    <row r="31" spans="2:2" x14ac:dyDescent="0.3">
      <c r="B31" s="196" t="s">
        <v>493</v>
      </c>
    </row>
    <row r="32" spans="2:2" x14ac:dyDescent="0.3">
      <c r="B32" s="196" t="s">
        <v>494</v>
      </c>
    </row>
    <row r="33" spans="2:2" x14ac:dyDescent="0.3">
      <c r="B33" s="196" t="s">
        <v>495</v>
      </c>
    </row>
    <row r="34" spans="2:2" x14ac:dyDescent="0.3">
      <c r="B34" s="196" t="s">
        <v>496</v>
      </c>
    </row>
    <row r="35" spans="2:2" x14ac:dyDescent="0.3">
      <c r="B35" s="196" t="s">
        <v>497</v>
      </c>
    </row>
    <row r="36" spans="2:2" x14ac:dyDescent="0.3">
      <c r="B36" s="196" t="s">
        <v>498</v>
      </c>
    </row>
    <row r="37" spans="2:2" x14ac:dyDescent="0.3">
      <c r="B37" s="196" t="s">
        <v>499</v>
      </c>
    </row>
    <row r="38" spans="2:2" x14ac:dyDescent="0.3">
      <c r="B38" s="196" t="s">
        <v>500</v>
      </c>
    </row>
    <row r="39" spans="2:2" x14ac:dyDescent="0.3">
      <c r="B39" s="196" t="s">
        <v>501</v>
      </c>
    </row>
    <row r="40" spans="2:2" x14ac:dyDescent="0.3">
      <c r="B40" s="196" t="s">
        <v>502</v>
      </c>
    </row>
    <row r="41" spans="2:2" x14ac:dyDescent="0.3">
      <c r="B41" s="196" t="s">
        <v>503</v>
      </c>
    </row>
    <row r="42" spans="2:2" x14ac:dyDescent="0.3">
      <c r="B42" s="196" t="s">
        <v>504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L13" sqref="L13"/>
    </sheetView>
  </sheetViews>
  <sheetFormatPr defaultRowHeight="14.4" x14ac:dyDescent="0.3"/>
  <cols>
    <col min="1" max="1" width="22.5546875" customWidth="1"/>
    <col min="2" max="2" width="4.88671875" style="2" customWidth="1"/>
  </cols>
  <sheetData>
    <row r="1" spans="1:21" ht="21" customHeight="1" x14ac:dyDescent="0.3">
      <c r="A1" s="223" t="s">
        <v>151</v>
      </c>
      <c r="B1" s="223"/>
      <c r="C1" s="223"/>
      <c r="D1" s="223"/>
      <c r="E1" s="223"/>
      <c r="F1" s="223"/>
      <c r="G1" s="223"/>
      <c r="H1" s="223"/>
      <c r="I1" s="223"/>
      <c r="J1" s="223"/>
      <c r="K1" s="26"/>
      <c r="L1" s="26"/>
      <c r="M1" s="26"/>
      <c r="N1" s="26"/>
      <c r="O1" s="26"/>
      <c r="P1" s="26"/>
      <c r="Q1" s="26"/>
      <c r="R1" s="26"/>
      <c r="S1" s="26"/>
      <c r="T1" s="26"/>
      <c r="U1" s="21"/>
    </row>
    <row r="2" spans="1:21" ht="4.2" customHeight="1" x14ac:dyDescent="0.35">
      <c r="A2" s="22"/>
      <c r="B2" s="23"/>
      <c r="C2" s="24"/>
      <c r="D2" s="24"/>
      <c r="E2" s="24"/>
      <c r="F2" s="24"/>
      <c r="G2" s="24"/>
      <c r="H2" s="24"/>
      <c r="I2" s="24"/>
      <c r="J2" s="24"/>
      <c r="K2" s="25"/>
      <c r="L2" s="25"/>
      <c r="M2" s="25"/>
      <c r="N2" s="25"/>
      <c r="O2" s="25"/>
      <c r="P2" s="25"/>
      <c r="Q2" s="25"/>
      <c r="R2" s="25"/>
      <c r="S2" s="25"/>
      <c r="T2" s="25"/>
      <c r="U2" s="25"/>
    </row>
    <row r="3" spans="1:21" ht="21" customHeight="1" x14ac:dyDescent="0.3">
      <c r="A3" s="4"/>
      <c r="B3" s="3"/>
      <c r="D3" s="19"/>
      <c r="E3" s="20" t="s">
        <v>158</v>
      </c>
      <c r="F3" s="19"/>
      <c r="G3" s="19"/>
      <c r="H3" s="19"/>
    </row>
    <row r="4" spans="1:21" x14ac:dyDescent="0.3">
      <c r="A4" s="4"/>
      <c r="B4" s="3"/>
      <c r="C4" s="9" t="s">
        <v>362</v>
      </c>
      <c r="D4" s="9" t="s">
        <v>469</v>
      </c>
      <c r="E4" s="9" t="s">
        <v>555</v>
      </c>
      <c r="F4" s="9" t="s">
        <v>248</v>
      </c>
      <c r="G4" s="9" t="s">
        <v>208</v>
      </c>
      <c r="H4" s="9" t="s">
        <v>680</v>
      </c>
      <c r="I4" s="9" t="s">
        <v>172</v>
      </c>
      <c r="J4" s="9" t="s">
        <v>172</v>
      </c>
    </row>
    <row r="5" spans="1:21" ht="17.399999999999999" x14ac:dyDescent="0.3">
      <c r="A5" s="7" t="s">
        <v>167</v>
      </c>
      <c r="B5" s="16" t="s">
        <v>164</v>
      </c>
      <c r="C5" s="6" t="s">
        <v>171</v>
      </c>
      <c r="D5" s="6" t="s">
        <v>171</v>
      </c>
      <c r="E5" s="6" t="s">
        <v>171</v>
      </c>
      <c r="F5" s="6" t="s">
        <v>171</v>
      </c>
      <c r="G5" s="6" t="s">
        <v>171</v>
      </c>
      <c r="H5" s="6" t="s">
        <v>171</v>
      </c>
      <c r="I5" s="6" t="s">
        <v>171</v>
      </c>
      <c r="J5" s="6" t="s">
        <v>171</v>
      </c>
    </row>
    <row r="6" spans="1:21" ht="5.4" customHeight="1" x14ac:dyDescent="0.3">
      <c r="A6" s="4"/>
      <c r="B6" s="3"/>
      <c r="C6" s="4"/>
      <c r="D6" s="4"/>
      <c r="E6" s="4"/>
      <c r="F6" s="4"/>
      <c r="G6" s="4"/>
      <c r="H6" s="4"/>
    </row>
    <row r="7" spans="1:21" ht="17.399999999999999" customHeight="1" x14ac:dyDescent="0.3">
      <c r="A7" s="12" t="s">
        <v>165</v>
      </c>
      <c r="B7" s="18">
        <v>3</v>
      </c>
      <c r="C7" s="17" t="b">
        <v>0</v>
      </c>
      <c r="D7" s="17" t="b">
        <v>0</v>
      </c>
      <c r="E7" s="17" t="b">
        <v>0</v>
      </c>
      <c r="F7" s="17" t="b">
        <v>0</v>
      </c>
      <c r="G7" s="17" t="b">
        <v>0</v>
      </c>
      <c r="H7" s="17" t="b">
        <v>0</v>
      </c>
      <c r="I7" s="17" t="b">
        <v>0</v>
      </c>
      <c r="J7" s="17" t="b">
        <v>0</v>
      </c>
    </row>
    <row r="8" spans="1:21" s="5" customFormat="1" ht="18" customHeight="1" x14ac:dyDescent="0.3">
      <c r="A8" s="13" t="s">
        <v>152</v>
      </c>
      <c r="B8" s="18">
        <v>2</v>
      </c>
      <c r="C8" s="17" t="b">
        <v>0</v>
      </c>
      <c r="D8" s="17" t="b">
        <v>0</v>
      </c>
      <c r="E8" s="17" t="b">
        <v>0</v>
      </c>
      <c r="F8" s="17" t="b">
        <v>0</v>
      </c>
      <c r="G8" s="17" t="b">
        <v>0</v>
      </c>
      <c r="H8" s="17" t="b">
        <v>0</v>
      </c>
      <c r="I8" s="17" t="b">
        <v>0</v>
      </c>
      <c r="J8" s="17" t="b">
        <v>0</v>
      </c>
    </row>
    <row r="9" spans="1:21" s="5" customFormat="1" ht="18" customHeight="1" x14ac:dyDescent="0.3">
      <c r="A9" s="13" t="s">
        <v>153</v>
      </c>
      <c r="B9" s="18">
        <v>3</v>
      </c>
      <c r="C9" s="17" t="b">
        <v>0</v>
      </c>
      <c r="D9" s="17" t="b">
        <v>0</v>
      </c>
      <c r="E9" s="17" t="b">
        <v>0</v>
      </c>
      <c r="F9" s="17" t="b">
        <v>0</v>
      </c>
      <c r="G9" s="17" t="b">
        <v>0</v>
      </c>
      <c r="H9" s="17" t="b">
        <v>0</v>
      </c>
      <c r="I9" s="17" t="b">
        <v>0</v>
      </c>
      <c r="J9" s="17" t="b">
        <v>0</v>
      </c>
    </row>
    <row r="10" spans="1:21" s="5" customFormat="1" ht="18" customHeight="1" x14ac:dyDescent="0.3">
      <c r="A10" s="13" t="s">
        <v>154</v>
      </c>
      <c r="B10" s="18">
        <v>2</v>
      </c>
      <c r="C10" s="17" t="b">
        <v>0</v>
      </c>
      <c r="D10" s="17" t="b">
        <v>0</v>
      </c>
      <c r="E10" s="17" t="b">
        <v>0</v>
      </c>
      <c r="F10" s="17" t="b">
        <v>0</v>
      </c>
      <c r="G10" s="17" t="b">
        <v>0</v>
      </c>
      <c r="H10" s="17" t="b">
        <v>0</v>
      </c>
      <c r="I10" s="17" t="b">
        <v>0</v>
      </c>
      <c r="J10" s="17" t="b">
        <v>0</v>
      </c>
    </row>
    <row r="11" spans="1:21" s="5" customFormat="1" ht="7.2" customHeight="1" x14ac:dyDescent="0.3">
      <c r="A11" s="8"/>
      <c r="B11" s="18"/>
      <c r="C11" s="3"/>
      <c r="D11" s="3"/>
      <c r="E11" s="3"/>
      <c r="F11" s="3"/>
      <c r="G11" s="3"/>
      <c r="H11" s="3"/>
      <c r="I11" s="3"/>
      <c r="J11" s="3"/>
    </row>
    <row r="12" spans="1:21" s="5" customFormat="1" ht="18" customHeight="1" x14ac:dyDescent="0.3">
      <c r="A12" s="14" t="s">
        <v>155</v>
      </c>
      <c r="B12" s="18">
        <v>3</v>
      </c>
      <c r="C12" s="17" t="b">
        <v>0</v>
      </c>
      <c r="D12" s="17" t="b">
        <v>0</v>
      </c>
      <c r="E12" s="17" t="b">
        <v>0</v>
      </c>
      <c r="F12" s="17" t="b">
        <v>0</v>
      </c>
      <c r="G12" s="17" t="b">
        <v>0</v>
      </c>
      <c r="H12" s="17" t="b">
        <v>0</v>
      </c>
      <c r="I12" s="17" t="b">
        <v>0</v>
      </c>
      <c r="J12" s="17" t="b">
        <v>0</v>
      </c>
    </row>
    <row r="13" spans="1:21" s="5" customFormat="1" ht="18" customHeight="1" x14ac:dyDescent="0.3">
      <c r="A13" s="14" t="s">
        <v>156</v>
      </c>
      <c r="B13" s="18">
        <v>1</v>
      </c>
      <c r="C13" s="17" t="b">
        <v>0</v>
      </c>
      <c r="D13" s="17" t="b">
        <v>0</v>
      </c>
      <c r="E13" s="17" t="b">
        <v>0</v>
      </c>
      <c r="F13" s="17" t="b">
        <v>0</v>
      </c>
      <c r="G13" s="17" t="b">
        <v>0</v>
      </c>
      <c r="H13" s="17" t="b">
        <v>0</v>
      </c>
      <c r="I13" s="17" t="b">
        <v>0</v>
      </c>
      <c r="J13" s="17" t="b">
        <v>0</v>
      </c>
    </row>
    <row r="14" spans="1:21" s="5" customFormat="1" ht="18" customHeight="1" x14ac:dyDescent="0.3">
      <c r="A14" s="14" t="s">
        <v>157</v>
      </c>
      <c r="B14" s="18">
        <v>3</v>
      </c>
      <c r="C14" s="17" t="b">
        <v>0</v>
      </c>
      <c r="D14" s="17" t="b">
        <v>0</v>
      </c>
      <c r="E14" s="17" t="b">
        <v>0</v>
      </c>
      <c r="F14" s="17" t="b">
        <v>0</v>
      </c>
      <c r="G14" s="17" t="b">
        <v>0</v>
      </c>
      <c r="H14" s="17" t="b">
        <v>0</v>
      </c>
      <c r="I14" s="17" t="b">
        <v>0</v>
      </c>
      <c r="J14" s="17" t="b">
        <v>0</v>
      </c>
    </row>
    <row r="15" spans="1:21" s="5" customFormat="1" ht="7.2" customHeight="1" x14ac:dyDescent="0.3">
      <c r="A15" s="8"/>
      <c r="B15" s="18"/>
      <c r="C15" s="3"/>
      <c r="D15" s="3"/>
      <c r="E15" s="3"/>
      <c r="F15" s="3"/>
      <c r="G15" s="3"/>
      <c r="H15" s="3"/>
      <c r="I15" s="3"/>
      <c r="J15" s="3"/>
    </row>
    <row r="16" spans="1:21" s="5" customFormat="1" ht="18" customHeight="1" x14ac:dyDescent="0.3">
      <c r="A16" s="15" t="s">
        <v>168</v>
      </c>
      <c r="B16" s="18">
        <v>1</v>
      </c>
      <c r="C16" s="17" t="b">
        <v>0</v>
      </c>
      <c r="D16" s="17" t="b">
        <v>0</v>
      </c>
      <c r="E16" s="17" t="b">
        <v>0</v>
      </c>
      <c r="F16" s="17" t="b">
        <v>0</v>
      </c>
      <c r="G16" s="17" t="b">
        <v>0</v>
      </c>
      <c r="H16" s="17" t="b">
        <v>0</v>
      </c>
      <c r="I16" s="17" t="b">
        <v>0</v>
      </c>
      <c r="J16" s="17" t="b">
        <v>0</v>
      </c>
    </row>
    <row r="18" spans="1:10" x14ac:dyDescent="0.3">
      <c r="A18" s="11" t="s">
        <v>174</v>
      </c>
    </row>
    <row r="19" spans="1:10" x14ac:dyDescent="0.3">
      <c r="A19" s="11" t="s">
        <v>173</v>
      </c>
    </row>
    <row r="20" spans="1:10" x14ac:dyDescent="0.3">
      <c r="A20" s="11" t="s">
        <v>175</v>
      </c>
    </row>
    <row r="21" spans="1:10" ht="4.8" customHeight="1" x14ac:dyDescent="0.3"/>
    <row r="23" spans="1:10" ht="46.2" customHeight="1" x14ac:dyDescent="0.3">
      <c r="A23" s="10" t="s">
        <v>165</v>
      </c>
      <c r="C23" s="222" t="s">
        <v>166</v>
      </c>
      <c r="D23" s="222"/>
      <c r="E23" s="222"/>
      <c r="F23" s="222"/>
      <c r="G23" s="222"/>
      <c r="H23" s="222"/>
      <c r="I23" s="222"/>
      <c r="J23" s="222"/>
    </row>
    <row r="24" spans="1:10" ht="46.2" customHeight="1" x14ac:dyDescent="0.3">
      <c r="A24" s="10" t="s">
        <v>152</v>
      </c>
      <c r="C24" s="222" t="s">
        <v>159</v>
      </c>
      <c r="D24" s="222"/>
      <c r="E24" s="222"/>
      <c r="F24" s="222"/>
      <c r="G24" s="222"/>
      <c r="H24" s="222"/>
      <c r="I24" s="222"/>
      <c r="J24" s="222"/>
    </row>
    <row r="25" spans="1:10" ht="46.2" customHeight="1" x14ac:dyDescent="0.3">
      <c r="A25" s="10" t="s">
        <v>153</v>
      </c>
      <c r="C25" s="222" t="s">
        <v>160</v>
      </c>
      <c r="D25" s="222"/>
      <c r="E25" s="222"/>
      <c r="F25" s="222"/>
      <c r="G25" s="222"/>
      <c r="H25" s="222"/>
      <c r="I25" s="222"/>
      <c r="J25" s="222"/>
    </row>
    <row r="26" spans="1:10" ht="46.2" customHeight="1" x14ac:dyDescent="0.3">
      <c r="A26" s="10" t="s">
        <v>154</v>
      </c>
      <c r="C26" s="222" t="s">
        <v>161</v>
      </c>
      <c r="D26" s="222"/>
      <c r="E26" s="222"/>
      <c r="F26" s="222"/>
      <c r="G26" s="222"/>
      <c r="H26" s="222"/>
      <c r="I26" s="222"/>
      <c r="J26" s="222"/>
    </row>
    <row r="27" spans="1:10" ht="46.2" customHeight="1" x14ac:dyDescent="0.3">
      <c r="A27" s="10" t="s">
        <v>155</v>
      </c>
      <c r="C27" s="222" t="s">
        <v>162</v>
      </c>
      <c r="D27" s="222"/>
      <c r="E27" s="222"/>
      <c r="F27" s="222"/>
      <c r="G27" s="222"/>
      <c r="H27" s="222"/>
      <c r="I27" s="222"/>
      <c r="J27" s="222"/>
    </row>
    <row r="28" spans="1:10" ht="46.2" customHeight="1" x14ac:dyDescent="0.3">
      <c r="A28" s="10" t="s">
        <v>156</v>
      </c>
      <c r="C28" s="222" t="s">
        <v>163</v>
      </c>
      <c r="D28" s="222"/>
      <c r="E28" s="222"/>
      <c r="F28" s="222"/>
      <c r="G28" s="222"/>
      <c r="H28" s="222"/>
      <c r="I28" s="222"/>
      <c r="J28" s="222"/>
    </row>
    <row r="29" spans="1:10" ht="46.2" customHeight="1" x14ac:dyDescent="0.3">
      <c r="A29" s="10" t="s">
        <v>157</v>
      </c>
      <c r="C29" s="222" t="s">
        <v>170</v>
      </c>
      <c r="D29" s="222"/>
      <c r="E29" s="222"/>
      <c r="F29" s="222"/>
      <c r="G29" s="222"/>
      <c r="H29" s="222"/>
      <c r="I29" s="222"/>
      <c r="J29" s="222"/>
    </row>
    <row r="30" spans="1:10" ht="46.8" customHeight="1" x14ac:dyDescent="0.3">
      <c r="A30" s="10" t="s">
        <v>168</v>
      </c>
      <c r="C30" s="222" t="s">
        <v>169</v>
      </c>
      <c r="D30" s="222"/>
      <c r="E30" s="222"/>
      <c r="F30" s="222"/>
      <c r="G30" s="222"/>
      <c r="H30" s="222"/>
      <c r="I30" s="222"/>
      <c r="J30" s="222"/>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9"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30" sqref="AD30"/>
    </sheetView>
  </sheetViews>
  <sheetFormatPr defaultRowHeight="15.6" x14ac:dyDescent="0.35"/>
  <cols>
    <col min="1" max="1" width="21.77734375" style="27"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35" t="s">
        <v>176</v>
      </c>
      <c r="N1" s="35" t="s">
        <v>56</v>
      </c>
    </row>
    <row r="3" spans="1:24" x14ac:dyDescent="0.3">
      <c r="A3" s="28" t="s">
        <v>11</v>
      </c>
      <c r="B3" s="29"/>
      <c r="C3" s="30"/>
      <c r="D3" s="29"/>
      <c r="E3" s="31"/>
      <c r="F3" s="29"/>
      <c r="G3" s="1"/>
      <c r="H3" s="29"/>
      <c r="I3" s="31"/>
      <c r="J3" s="31"/>
      <c r="K3" s="31"/>
      <c r="L3" s="31"/>
      <c r="N3" s="28" t="s">
        <v>177</v>
      </c>
      <c r="O3" s="31"/>
      <c r="P3" s="31"/>
      <c r="Q3" s="31"/>
      <c r="R3" s="31"/>
      <c r="S3" s="31"/>
      <c r="T3" s="31"/>
      <c r="U3" s="31"/>
      <c r="V3" s="31"/>
      <c r="W3" s="31"/>
      <c r="X3" s="31"/>
    </row>
    <row r="4" spans="1:24" x14ac:dyDescent="0.3">
      <c r="A4" s="28" t="s">
        <v>14</v>
      </c>
      <c r="B4" s="29"/>
      <c r="C4" s="30"/>
      <c r="D4" s="29"/>
      <c r="E4" s="31"/>
      <c r="F4" s="29"/>
      <c r="G4" s="1"/>
      <c r="H4" s="29"/>
      <c r="I4" s="31"/>
      <c r="J4" s="31"/>
      <c r="K4" s="31"/>
      <c r="L4" s="31"/>
      <c r="N4" s="28" t="s">
        <v>178</v>
      </c>
      <c r="O4" s="31"/>
      <c r="P4" s="31"/>
      <c r="Q4" s="31"/>
      <c r="R4" s="31"/>
      <c r="S4" s="31"/>
      <c r="T4" s="31"/>
      <c r="U4" s="31"/>
      <c r="V4" s="31"/>
      <c r="W4" s="31"/>
      <c r="X4" s="31"/>
    </row>
    <row r="5" spans="1:24" x14ac:dyDescent="0.3">
      <c r="A5" s="28" t="s">
        <v>15</v>
      </c>
      <c r="B5" s="29"/>
      <c r="C5" s="30"/>
      <c r="D5" s="29"/>
      <c r="E5" s="31"/>
      <c r="F5" s="29"/>
      <c r="G5" s="1"/>
      <c r="H5" s="29"/>
      <c r="I5" s="31"/>
      <c r="J5" s="31"/>
      <c r="K5" s="31"/>
      <c r="L5" s="31"/>
      <c r="N5" s="28" t="s">
        <v>179</v>
      </c>
      <c r="O5" s="31"/>
      <c r="P5" s="31"/>
      <c r="Q5" s="31"/>
      <c r="R5" s="31"/>
      <c r="S5" s="31"/>
      <c r="T5" s="31"/>
      <c r="U5" s="31"/>
      <c r="V5" s="31"/>
      <c r="W5" s="31"/>
      <c r="X5" s="31"/>
    </row>
    <row r="6" spans="1:24" x14ac:dyDescent="0.3">
      <c r="A6" s="28" t="s">
        <v>12</v>
      </c>
      <c r="B6" s="31"/>
      <c r="C6" s="31"/>
      <c r="D6" s="31"/>
      <c r="E6" s="31"/>
      <c r="F6" s="31"/>
      <c r="H6" s="31"/>
      <c r="I6" s="31"/>
      <c r="J6" s="31"/>
      <c r="K6" s="31"/>
      <c r="L6" s="31"/>
      <c r="N6" s="28" t="s">
        <v>180</v>
      </c>
      <c r="O6" s="31"/>
      <c r="P6" s="31"/>
      <c r="Q6" s="31"/>
      <c r="R6" s="31"/>
      <c r="S6" s="31"/>
      <c r="T6" s="31"/>
      <c r="U6" s="31"/>
      <c r="V6" s="31"/>
      <c r="W6" s="31"/>
      <c r="X6" s="31"/>
    </row>
    <row r="7" spans="1:24" x14ac:dyDescent="0.3">
      <c r="A7" s="28" t="s">
        <v>16</v>
      </c>
      <c r="B7" s="31"/>
      <c r="C7" s="31"/>
      <c r="D7" s="31"/>
      <c r="E7" s="31"/>
      <c r="F7" s="31"/>
      <c r="H7" s="31"/>
      <c r="I7" s="31"/>
      <c r="J7" s="31"/>
      <c r="K7" s="31"/>
      <c r="L7" s="31"/>
      <c r="N7" s="28" t="s">
        <v>129</v>
      </c>
      <c r="O7" s="31"/>
      <c r="P7" s="31"/>
      <c r="Q7" s="31"/>
      <c r="R7" s="31"/>
      <c r="S7" s="31"/>
      <c r="T7" s="31"/>
      <c r="U7" s="31"/>
      <c r="V7" s="31"/>
      <c r="W7" s="31"/>
      <c r="X7" s="31"/>
    </row>
    <row r="8" spans="1:24" x14ac:dyDescent="0.3">
      <c r="A8" s="28" t="s">
        <v>17</v>
      </c>
      <c r="B8" s="31"/>
      <c r="C8" s="31"/>
      <c r="D8" s="31"/>
      <c r="E8" s="31"/>
      <c r="F8" s="31"/>
      <c r="H8" s="31"/>
      <c r="I8" s="31"/>
      <c r="J8" s="31"/>
      <c r="K8" s="31"/>
      <c r="L8" s="31"/>
      <c r="N8" s="28" t="s">
        <v>188</v>
      </c>
      <c r="O8" s="31"/>
      <c r="P8" s="31"/>
      <c r="Q8" s="31"/>
      <c r="R8" s="31"/>
      <c r="S8" s="31"/>
      <c r="T8" s="31"/>
      <c r="U8" s="31"/>
      <c r="V8" s="31"/>
      <c r="W8" s="31"/>
      <c r="X8" s="31"/>
    </row>
    <row r="9" spans="1:24" x14ac:dyDescent="0.3">
      <c r="A9" s="28" t="s">
        <v>13</v>
      </c>
      <c r="B9" s="31"/>
      <c r="C9" s="31"/>
      <c r="D9" s="31"/>
      <c r="E9" s="31"/>
      <c r="F9" s="31"/>
      <c r="H9" s="31"/>
      <c r="I9" s="31"/>
      <c r="J9" s="31"/>
      <c r="K9" s="31"/>
      <c r="L9" s="31"/>
      <c r="N9" s="28" t="s">
        <v>189</v>
      </c>
      <c r="O9" s="31"/>
      <c r="P9" s="31"/>
      <c r="Q9" s="31"/>
      <c r="R9" s="31"/>
      <c r="S9" s="31"/>
      <c r="T9" s="31"/>
      <c r="U9" s="31"/>
      <c r="V9" s="31"/>
      <c r="W9" s="31"/>
      <c r="X9" s="31"/>
    </row>
    <row r="10" spans="1:24" x14ac:dyDescent="0.3">
      <c r="A10" s="28" t="s">
        <v>18</v>
      </c>
      <c r="B10" s="31"/>
      <c r="C10" s="31"/>
      <c r="D10" s="31"/>
      <c r="E10" s="31"/>
      <c r="F10" s="31"/>
      <c r="H10" s="31"/>
      <c r="I10" s="31"/>
      <c r="J10" s="31"/>
      <c r="K10" s="31"/>
      <c r="L10" s="31"/>
      <c r="N10" s="28" t="s">
        <v>181</v>
      </c>
      <c r="O10" s="31"/>
      <c r="P10" s="31"/>
      <c r="Q10" s="31"/>
      <c r="R10" s="31"/>
      <c r="S10" s="31"/>
      <c r="T10" s="31"/>
      <c r="U10" s="31"/>
      <c r="V10" s="31"/>
      <c r="W10" s="31"/>
      <c r="X10" s="31"/>
    </row>
    <row r="11" spans="1:24" x14ac:dyDescent="0.3">
      <c r="A11" s="28" t="s">
        <v>19</v>
      </c>
      <c r="B11" s="31"/>
      <c r="C11" s="31"/>
      <c r="D11" s="31"/>
      <c r="E11" s="31"/>
      <c r="F11" s="31"/>
      <c r="H11" s="31"/>
      <c r="I11" s="31"/>
      <c r="J11" s="31"/>
      <c r="K11" s="31"/>
      <c r="L11" s="31"/>
      <c r="N11" s="28" t="s">
        <v>130</v>
      </c>
      <c r="O11" s="31"/>
      <c r="P11" s="31"/>
      <c r="Q11" s="31"/>
      <c r="R11" s="31"/>
      <c r="S11" s="31"/>
      <c r="T11" s="31"/>
      <c r="U11" s="31"/>
      <c r="V11" s="31"/>
      <c r="W11" s="31"/>
      <c r="X11" s="31"/>
    </row>
    <row r="12" spans="1:24" x14ac:dyDescent="0.3">
      <c r="A12" s="28"/>
      <c r="N12" s="28" t="s">
        <v>182</v>
      </c>
      <c r="O12" s="31"/>
      <c r="P12" s="31"/>
      <c r="Q12" s="31"/>
      <c r="R12" s="31"/>
      <c r="S12" s="31"/>
      <c r="T12" s="31"/>
      <c r="U12" s="31"/>
      <c r="V12" s="31"/>
      <c r="W12" s="31"/>
      <c r="X12" s="31"/>
    </row>
    <row r="13" spans="1:24" x14ac:dyDescent="0.3">
      <c r="A13" s="28" t="s">
        <v>23</v>
      </c>
      <c r="B13" s="31"/>
      <c r="C13" s="31"/>
      <c r="D13" s="31"/>
      <c r="E13" s="31"/>
      <c r="F13" s="31"/>
      <c r="H13" s="31"/>
      <c r="I13" s="31"/>
      <c r="J13" s="31"/>
      <c r="K13" s="31"/>
      <c r="L13" s="31"/>
      <c r="N13" s="28" t="s">
        <v>190</v>
      </c>
      <c r="O13" s="31"/>
      <c r="P13" s="31"/>
      <c r="Q13" s="31"/>
      <c r="R13" s="31"/>
      <c r="S13" s="31"/>
      <c r="T13" s="31"/>
      <c r="U13" s="31"/>
      <c r="V13" s="31"/>
      <c r="W13" s="31"/>
      <c r="X13" s="31"/>
    </row>
    <row r="14" spans="1:24" x14ac:dyDescent="0.3">
      <c r="A14" s="28" t="s">
        <v>32</v>
      </c>
      <c r="B14" s="31"/>
      <c r="C14" s="31"/>
      <c r="D14" s="31"/>
      <c r="E14" s="31"/>
      <c r="F14" s="31"/>
      <c r="H14" s="31"/>
      <c r="I14" s="31"/>
      <c r="J14" s="31"/>
      <c r="K14" s="31"/>
      <c r="L14" s="31"/>
      <c r="N14" s="28" t="s">
        <v>191</v>
      </c>
      <c r="O14" s="31"/>
      <c r="P14" s="31"/>
      <c r="Q14" s="31"/>
      <c r="R14" s="31"/>
      <c r="S14" s="31"/>
      <c r="T14" s="31"/>
      <c r="U14" s="31"/>
      <c r="V14" s="31"/>
      <c r="W14" s="31"/>
      <c r="X14" s="31"/>
    </row>
    <row r="15" spans="1:24" x14ac:dyDescent="0.3">
      <c r="A15" s="28" t="s">
        <v>52</v>
      </c>
      <c r="B15" s="31"/>
      <c r="C15" s="31"/>
      <c r="D15" s="31"/>
      <c r="E15" s="31"/>
      <c r="F15" s="31"/>
      <c r="H15" s="31"/>
      <c r="I15" s="31"/>
      <c r="J15" s="31"/>
      <c r="K15" s="31"/>
      <c r="L15" s="31"/>
      <c r="N15" s="28" t="s">
        <v>183</v>
      </c>
      <c r="O15" s="31"/>
      <c r="P15" s="31"/>
      <c r="Q15" s="31"/>
      <c r="R15" s="31"/>
      <c r="S15" s="31"/>
      <c r="T15" s="31"/>
      <c r="U15" s="31"/>
      <c r="V15" s="31"/>
      <c r="W15" s="31"/>
      <c r="X15" s="31"/>
    </row>
    <row r="16" spans="1:24" x14ac:dyDescent="0.3">
      <c r="A16" s="28" t="s">
        <v>26</v>
      </c>
      <c r="B16" s="31"/>
      <c r="C16" s="31"/>
      <c r="D16" s="31"/>
      <c r="E16" s="31"/>
      <c r="F16" s="31"/>
      <c r="H16" s="31"/>
      <c r="I16" s="31"/>
      <c r="J16" s="31"/>
      <c r="K16" s="31"/>
      <c r="L16" s="31"/>
      <c r="N16" s="28" t="s">
        <v>184</v>
      </c>
      <c r="O16" s="31"/>
      <c r="P16" s="31"/>
      <c r="Q16" s="31"/>
      <c r="R16" s="31"/>
      <c r="S16" s="31"/>
      <c r="T16" s="31"/>
      <c r="U16" s="31"/>
      <c r="V16" s="31"/>
      <c r="W16" s="31"/>
      <c r="X16" s="31"/>
    </row>
    <row r="17" spans="1:24" x14ac:dyDescent="0.3">
      <c r="A17" s="28" t="s">
        <v>27</v>
      </c>
      <c r="B17" s="31"/>
      <c r="C17" s="31"/>
      <c r="D17" s="31"/>
      <c r="E17" s="31"/>
      <c r="F17" s="31"/>
      <c r="H17" s="31"/>
      <c r="I17" s="31"/>
      <c r="J17" s="31"/>
      <c r="K17" s="31"/>
      <c r="L17" s="31"/>
      <c r="N17" s="28" t="s">
        <v>185</v>
      </c>
      <c r="O17" s="31"/>
      <c r="P17" s="31"/>
      <c r="Q17" s="31"/>
      <c r="R17" s="31"/>
      <c r="S17" s="31"/>
      <c r="T17" s="31"/>
      <c r="U17" s="31"/>
      <c r="V17" s="31"/>
      <c r="W17" s="31"/>
      <c r="X17" s="31"/>
    </row>
    <row r="18" spans="1:24" x14ac:dyDescent="0.3">
      <c r="A18" s="28" t="s">
        <v>28</v>
      </c>
      <c r="B18" s="31"/>
      <c r="C18" s="31"/>
      <c r="D18" s="31"/>
      <c r="E18" s="31"/>
      <c r="F18" s="31"/>
      <c r="H18" s="31"/>
      <c r="I18" s="31"/>
      <c r="J18" s="31"/>
      <c r="K18" s="31"/>
      <c r="L18" s="31"/>
      <c r="N18" s="28" t="s">
        <v>186</v>
      </c>
      <c r="O18" s="31"/>
      <c r="P18" s="31"/>
      <c r="Q18" s="31"/>
      <c r="R18" s="31"/>
      <c r="S18" s="31"/>
      <c r="T18" s="31"/>
      <c r="U18" s="31"/>
      <c r="V18" s="31"/>
      <c r="W18" s="31"/>
      <c r="X18" s="31"/>
    </row>
    <row r="19" spans="1:24" x14ac:dyDescent="0.3">
      <c r="A19" s="28" t="s">
        <v>24</v>
      </c>
      <c r="B19" s="31"/>
      <c r="C19" s="31"/>
      <c r="D19" s="31"/>
      <c r="E19" s="31"/>
      <c r="F19" s="31"/>
      <c r="H19" s="31"/>
      <c r="I19" s="31"/>
      <c r="J19" s="31"/>
      <c r="K19" s="31"/>
      <c r="L19" s="31"/>
      <c r="N19" s="28" t="s">
        <v>187</v>
      </c>
      <c r="O19" s="31"/>
      <c r="P19" s="31"/>
      <c r="Q19" s="31"/>
      <c r="R19" s="31"/>
      <c r="S19" s="31"/>
      <c r="T19" s="31"/>
      <c r="U19" s="31"/>
      <c r="V19" s="31"/>
      <c r="W19" s="31"/>
      <c r="X19" s="31"/>
    </row>
    <row r="20" spans="1:24" x14ac:dyDescent="0.3">
      <c r="A20" s="28" t="s">
        <v>25</v>
      </c>
      <c r="B20" s="31"/>
      <c r="C20" s="31"/>
      <c r="D20" s="31"/>
      <c r="E20" s="31"/>
      <c r="F20" s="31"/>
      <c r="H20" s="31"/>
      <c r="I20" s="31"/>
      <c r="J20" s="31"/>
      <c r="K20" s="31"/>
      <c r="L20" s="31"/>
      <c r="N20" s="28"/>
    </row>
    <row r="21" spans="1:24" x14ac:dyDescent="0.3">
      <c r="A21" s="28" t="s">
        <v>37</v>
      </c>
      <c r="B21" s="31"/>
      <c r="C21" s="31"/>
      <c r="D21" s="31"/>
      <c r="E21" s="31"/>
      <c r="F21" s="31"/>
      <c r="H21" s="31"/>
      <c r="I21" s="31"/>
      <c r="J21" s="31"/>
      <c r="K21" s="31"/>
      <c r="L21" s="31"/>
      <c r="N21" s="32"/>
      <c r="O21" s="31"/>
      <c r="P21" s="31"/>
      <c r="Q21" s="31"/>
      <c r="R21" s="31"/>
      <c r="S21" s="31"/>
      <c r="T21" s="31"/>
      <c r="U21" s="31"/>
      <c r="V21" s="31"/>
      <c r="W21" s="31"/>
      <c r="X21" s="31"/>
    </row>
    <row r="22" spans="1:24" x14ac:dyDescent="0.3">
      <c r="A22" s="28" t="s">
        <v>29</v>
      </c>
      <c r="B22" s="31"/>
      <c r="C22" s="31"/>
      <c r="D22" s="31"/>
      <c r="E22" s="31"/>
      <c r="F22" s="31"/>
      <c r="H22" s="31"/>
      <c r="I22" s="31"/>
      <c r="J22" s="31"/>
      <c r="K22" s="31"/>
      <c r="L22" s="31"/>
      <c r="N22" s="32"/>
      <c r="O22" s="31"/>
      <c r="P22" s="31"/>
      <c r="Q22" s="31"/>
      <c r="R22" s="31"/>
      <c r="S22" s="31"/>
      <c r="T22" s="31"/>
      <c r="U22" s="31"/>
      <c r="V22" s="31"/>
      <c r="W22" s="31"/>
      <c r="X22" s="31"/>
    </row>
    <row r="23" spans="1:24" x14ac:dyDescent="0.3">
      <c r="A23" s="28"/>
      <c r="N23" s="32"/>
      <c r="O23" s="31"/>
      <c r="P23" s="31"/>
      <c r="Q23" s="31"/>
      <c r="R23" s="31"/>
      <c r="S23" s="31"/>
      <c r="T23" s="31"/>
      <c r="U23" s="31"/>
      <c r="V23" s="31"/>
      <c r="W23" s="31"/>
      <c r="X23" s="31"/>
    </row>
    <row r="24" spans="1:24" x14ac:dyDescent="0.3">
      <c r="A24" s="28" t="s">
        <v>30</v>
      </c>
      <c r="B24" s="31"/>
      <c r="C24" s="31"/>
      <c r="D24" s="31"/>
      <c r="E24" s="31"/>
      <c r="F24" s="31"/>
      <c r="H24" s="31"/>
      <c r="I24" s="31"/>
      <c r="J24" s="31"/>
      <c r="K24" s="31"/>
      <c r="L24" s="31"/>
      <c r="N24" s="32"/>
      <c r="O24" s="31"/>
      <c r="P24" s="31"/>
      <c r="Q24" s="31"/>
      <c r="R24" s="31"/>
      <c r="S24" s="31"/>
      <c r="T24" s="31"/>
      <c r="U24" s="31"/>
      <c r="V24" s="31"/>
      <c r="W24" s="31"/>
      <c r="X24" s="31"/>
    </row>
    <row r="25" spans="1:24" x14ac:dyDescent="0.3">
      <c r="A25" s="28" t="s">
        <v>33</v>
      </c>
      <c r="B25" s="31"/>
      <c r="C25" s="31"/>
      <c r="D25" s="31"/>
      <c r="E25" s="31"/>
      <c r="F25" s="31"/>
      <c r="H25" s="31"/>
      <c r="I25" s="31"/>
      <c r="J25" s="31"/>
      <c r="K25" s="31"/>
      <c r="L25" s="31"/>
      <c r="N25" s="33"/>
      <c r="O25" s="31"/>
      <c r="P25" s="31"/>
      <c r="Q25" s="31"/>
      <c r="R25" s="31"/>
      <c r="S25" s="31"/>
      <c r="T25" s="31"/>
      <c r="U25" s="31"/>
      <c r="V25" s="31"/>
      <c r="W25" s="31"/>
      <c r="X25" s="31"/>
    </row>
    <row r="26" spans="1:24" x14ac:dyDescent="0.3">
      <c r="A26" s="28" t="s">
        <v>35</v>
      </c>
      <c r="B26" s="31"/>
      <c r="C26" s="31"/>
      <c r="D26" s="31"/>
      <c r="E26" s="31"/>
      <c r="F26" s="31"/>
      <c r="H26" s="31"/>
      <c r="I26" s="31"/>
      <c r="J26" s="31"/>
      <c r="K26" s="31"/>
      <c r="L26" s="31"/>
      <c r="N26" s="34"/>
      <c r="O26" s="31"/>
      <c r="P26" s="31"/>
      <c r="Q26" s="31"/>
      <c r="R26" s="31"/>
      <c r="S26" s="31"/>
      <c r="T26" s="31"/>
      <c r="U26" s="31"/>
      <c r="V26" s="31"/>
      <c r="W26" s="31"/>
      <c r="X26" s="31"/>
    </row>
    <row r="27" spans="1:24" x14ac:dyDescent="0.3">
      <c r="A27" s="28" t="s">
        <v>38</v>
      </c>
      <c r="B27" s="31"/>
      <c r="C27" s="31"/>
      <c r="D27" s="31"/>
      <c r="E27" s="31"/>
      <c r="F27" s="31"/>
      <c r="H27" s="31"/>
      <c r="I27" s="31"/>
      <c r="J27" s="31"/>
      <c r="K27" s="31"/>
      <c r="L27" s="31"/>
      <c r="N27" s="33"/>
      <c r="O27" s="31"/>
      <c r="P27" s="31"/>
      <c r="Q27" s="31"/>
      <c r="R27" s="31"/>
      <c r="S27" s="31"/>
      <c r="T27" s="31"/>
      <c r="U27" s="31"/>
      <c r="V27" s="31"/>
      <c r="W27" s="31"/>
      <c r="X27" s="31"/>
    </row>
    <row r="28" spans="1:24" x14ac:dyDescent="0.3">
      <c r="A28" s="28" t="s">
        <v>39</v>
      </c>
      <c r="B28" s="31"/>
      <c r="C28" s="31"/>
      <c r="D28" s="31"/>
      <c r="E28" s="31"/>
      <c r="F28" s="31"/>
      <c r="H28" s="31"/>
      <c r="I28" s="31"/>
      <c r="J28" s="31"/>
      <c r="K28" s="31"/>
      <c r="L28" s="31"/>
      <c r="N28" s="34"/>
      <c r="O28" s="31"/>
      <c r="P28" s="31"/>
      <c r="Q28" s="31"/>
      <c r="R28" s="31"/>
      <c r="S28" s="31"/>
      <c r="T28" s="31"/>
      <c r="U28" s="31"/>
      <c r="V28" s="31"/>
      <c r="W28" s="31"/>
      <c r="X28" s="31"/>
    </row>
    <row r="29" spans="1:24" x14ac:dyDescent="0.3">
      <c r="A29" s="28" t="s">
        <v>40</v>
      </c>
      <c r="B29" s="31"/>
      <c r="C29" s="31"/>
      <c r="D29" s="31"/>
      <c r="E29" s="31"/>
      <c r="F29" s="31"/>
      <c r="H29" s="31"/>
      <c r="I29" s="31"/>
      <c r="J29" s="31"/>
      <c r="K29" s="31"/>
      <c r="L29" s="31"/>
      <c r="N29" s="33"/>
      <c r="O29" s="31"/>
      <c r="P29" s="31"/>
      <c r="Q29" s="31"/>
      <c r="R29" s="31"/>
      <c r="S29" s="31"/>
      <c r="T29" s="31"/>
      <c r="U29" s="31"/>
      <c r="V29" s="31"/>
      <c r="W29" s="31"/>
      <c r="X29" s="31"/>
    </row>
    <row r="30" spans="1:24" x14ac:dyDescent="0.3">
      <c r="A30" s="28" t="s">
        <v>41</v>
      </c>
      <c r="B30" s="31"/>
      <c r="C30" s="31"/>
      <c r="D30" s="31"/>
      <c r="E30" s="31"/>
      <c r="F30" s="31"/>
      <c r="H30" s="31"/>
      <c r="I30" s="31"/>
      <c r="J30" s="31"/>
      <c r="K30" s="31"/>
      <c r="L30" s="31"/>
      <c r="N30" s="34"/>
      <c r="O30" s="31"/>
      <c r="P30" s="31"/>
      <c r="Q30" s="31"/>
      <c r="R30" s="31"/>
      <c r="S30" s="31"/>
      <c r="T30" s="31"/>
      <c r="U30" s="31"/>
      <c r="V30" s="31"/>
      <c r="W30" s="31"/>
      <c r="X30" s="31"/>
    </row>
    <row r="31" spans="1:24" x14ac:dyDescent="0.3">
      <c r="A31" s="28" t="s">
        <v>42</v>
      </c>
      <c r="B31" s="31"/>
      <c r="C31" s="31"/>
      <c r="D31" s="31"/>
      <c r="E31" s="31"/>
      <c r="F31" s="31"/>
      <c r="H31" s="31"/>
      <c r="I31" s="31"/>
      <c r="J31" s="31"/>
      <c r="K31" s="31"/>
      <c r="L31" s="31"/>
      <c r="N31" s="33"/>
      <c r="O31" s="31"/>
      <c r="P31" s="31"/>
      <c r="Q31" s="31"/>
      <c r="R31" s="31"/>
      <c r="S31" s="31"/>
      <c r="T31" s="31"/>
      <c r="U31" s="31"/>
      <c r="V31" s="31"/>
      <c r="W31" s="31"/>
      <c r="X31" s="31"/>
    </row>
    <row r="32" spans="1:24" x14ac:dyDescent="0.3">
      <c r="A32" s="28" t="s">
        <v>43</v>
      </c>
      <c r="B32" s="31"/>
      <c r="C32" s="31"/>
      <c r="D32" s="31"/>
      <c r="E32" s="31"/>
      <c r="F32" s="31"/>
      <c r="H32" s="31"/>
      <c r="I32" s="31"/>
      <c r="J32" s="31"/>
      <c r="K32" s="31"/>
      <c r="L32" s="31"/>
      <c r="N32" s="34"/>
      <c r="O32" s="31"/>
      <c r="P32" s="31"/>
      <c r="Q32" s="31"/>
      <c r="R32" s="31"/>
      <c r="S32" s="31"/>
      <c r="T32" s="31"/>
      <c r="U32" s="31"/>
      <c r="V32" s="31"/>
      <c r="W32" s="31"/>
      <c r="X32" s="31"/>
    </row>
    <row r="33" spans="1:24" x14ac:dyDescent="0.3">
      <c r="A33" s="28" t="s">
        <v>44</v>
      </c>
      <c r="B33" s="31"/>
      <c r="C33" s="31"/>
      <c r="D33" s="31"/>
      <c r="E33" s="31"/>
      <c r="F33" s="31"/>
      <c r="H33" s="31"/>
      <c r="I33" s="31"/>
      <c r="J33" s="31"/>
      <c r="K33" s="31"/>
      <c r="L33" s="31"/>
      <c r="N33" s="33"/>
      <c r="O33" s="31"/>
      <c r="P33" s="31"/>
      <c r="Q33" s="31"/>
      <c r="R33" s="31"/>
      <c r="S33" s="31"/>
      <c r="T33" s="31"/>
      <c r="U33" s="31"/>
      <c r="V33" s="31"/>
      <c r="W33" s="31"/>
      <c r="X33" s="31"/>
    </row>
    <row r="34" spans="1:24" x14ac:dyDescent="0.3">
      <c r="A34" s="28"/>
      <c r="N34" s="34"/>
      <c r="O34" s="31"/>
      <c r="P34" s="31"/>
      <c r="Q34" s="31"/>
      <c r="R34" s="31"/>
      <c r="S34" s="31"/>
      <c r="T34" s="31"/>
      <c r="U34" s="31"/>
      <c r="V34" s="31"/>
      <c r="W34" s="31"/>
      <c r="X34" s="31"/>
    </row>
    <row r="35" spans="1:24" x14ac:dyDescent="0.3">
      <c r="A35" s="28" t="s">
        <v>31</v>
      </c>
      <c r="B35" s="31"/>
      <c r="C35" s="31"/>
      <c r="D35" s="31"/>
      <c r="E35" s="31"/>
      <c r="F35" s="31"/>
      <c r="H35" s="31"/>
      <c r="I35" s="31"/>
      <c r="J35" s="31"/>
      <c r="K35" s="31"/>
      <c r="L35" s="31"/>
      <c r="N35" s="33"/>
      <c r="O35" s="31"/>
      <c r="P35" s="31"/>
      <c r="Q35" s="31"/>
      <c r="R35" s="31"/>
      <c r="S35" s="31"/>
      <c r="T35" s="31"/>
      <c r="U35" s="31"/>
      <c r="V35" s="31"/>
      <c r="W35" s="31"/>
      <c r="X35" s="31"/>
    </row>
    <row r="36" spans="1:24" x14ac:dyDescent="0.3">
      <c r="A36" s="28" t="s">
        <v>34</v>
      </c>
      <c r="B36" s="31"/>
      <c r="C36" s="31"/>
      <c r="D36" s="31"/>
      <c r="E36" s="31"/>
      <c r="F36" s="31"/>
      <c r="H36" s="31"/>
      <c r="I36" s="31"/>
      <c r="J36" s="31"/>
      <c r="K36" s="31"/>
      <c r="L36" s="31"/>
      <c r="N36" s="34"/>
      <c r="O36" s="31"/>
      <c r="P36" s="31"/>
      <c r="Q36" s="31"/>
      <c r="R36" s="31"/>
      <c r="S36" s="31"/>
      <c r="T36" s="31"/>
      <c r="U36" s="31"/>
      <c r="V36" s="31"/>
      <c r="W36" s="31"/>
      <c r="X36" s="31"/>
    </row>
    <row r="37" spans="1:24" x14ac:dyDescent="0.3">
      <c r="A37" s="28" t="s">
        <v>36</v>
      </c>
      <c r="B37" s="31"/>
      <c r="C37" s="31"/>
      <c r="D37" s="31"/>
      <c r="E37" s="31"/>
      <c r="F37" s="31"/>
      <c r="H37" s="31"/>
      <c r="I37" s="31"/>
      <c r="J37" s="31"/>
      <c r="K37" s="31"/>
      <c r="L37" s="31"/>
      <c r="N37" s="34"/>
      <c r="O37" s="31"/>
      <c r="P37" s="31"/>
      <c r="Q37" s="31"/>
      <c r="R37" s="31"/>
      <c r="S37" s="31"/>
      <c r="T37" s="31"/>
      <c r="U37" s="31"/>
      <c r="V37" s="31"/>
      <c r="W37" s="31"/>
      <c r="X37" s="31"/>
    </row>
    <row r="38" spans="1:24" x14ac:dyDescent="0.3">
      <c r="A38" s="28" t="s">
        <v>45</v>
      </c>
      <c r="B38" s="31"/>
      <c r="C38" s="31"/>
      <c r="D38" s="31"/>
      <c r="E38" s="31"/>
      <c r="F38" s="31"/>
      <c r="H38" s="31"/>
      <c r="I38" s="31"/>
      <c r="J38" s="31"/>
      <c r="K38" s="31"/>
      <c r="L38" s="31"/>
      <c r="N38" s="33"/>
      <c r="O38" s="31"/>
      <c r="P38" s="31"/>
      <c r="Q38" s="31"/>
      <c r="R38" s="31"/>
      <c r="S38" s="31"/>
      <c r="T38" s="31"/>
      <c r="U38" s="31"/>
      <c r="V38" s="31"/>
      <c r="W38" s="31"/>
      <c r="X38" s="31"/>
    </row>
    <row r="39" spans="1:24" x14ac:dyDescent="0.3">
      <c r="A39" s="28" t="s">
        <v>46</v>
      </c>
      <c r="B39" s="31"/>
      <c r="C39" s="31"/>
      <c r="D39" s="31"/>
      <c r="E39" s="31"/>
      <c r="F39" s="31"/>
      <c r="H39" s="31"/>
      <c r="I39" s="31"/>
      <c r="J39" s="31"/>
      <c r="K39" s="31"/>
      <c r="L39" s="31"/>
      <c r="N39" s="33"/>
      <c r="O39" s="31"/>
      <c r="P39" s="31"/>
      <c r="Q39" s="31"/>
      <c r="R39" s="31"/>
      <c r="S39" s="31"/>
      <c r="T39" s="31"/>
      <c r="U39" s="31"/>
      <c r="V39" s="31"/>
      <c r="W39" s="31"/>
      <c r="X39" s="31"/>
    </row>
    <row r="40" spans="1:24" x14ac:dyDescent="0.3">
      <c r="A40" s="28" t="s">
        <v>47</v>
      </c>
      <c r="B40" s="31"/>
      <c r="C40" s="31"/>
      <c r="D40" s="31"/>
      <c r="E40" s="31"/>
      <c r="F40" s="31"/>
      <c r="H40" s="31"/>
      <c r="I40" s="31"/>
      <c r="J40" s="31"/>
      <c r="K40" s="31"/>
      <c r="L40" s="31"/>
      <c r="N40" s="33"/>
      <c r="O40" s="31"/>
      <c r="P40" s="31"/>
      <c r="Q40" s="31"/>
      <c r="R40" s="31"/>
      <c r="S40" s="31"/>
      <c r="T40" s="31"/>
      <c r="U40" s="31"/>
      <c r="V40" s="31"/>
      <c r="W40" s="31"/>
      <c r="X40" s="31"/>
    </row>
    <row r="41" spans="1:24" x14ac:dyDescent="0.3">
      <c r="A41" s="28" t="s">
        <v>48</v>
      </c>
      <c r="B41" s="31"/>
      <c r="C41" s="31"/>
      <c r="D41" s="31"/>
      <c r="E41" s="31"/>
      <c r="F41" s="31"/>
      <c r="H41" s="31"/>
      <c r="I41" s="31"/>
      <c r="J41" s="31"/>
      <c r="K41" s="31"/>
      <c r="L41" s="31"/>
      <c r="N41" s="33"/>
      <c r="O41" s="31"/>
      <c r="P41" s="31"/>
      <c r="Q41" s="31"/>
      <c r="R41" s="31"/>
      <c r="S41" s="31"/>
      <c r="T41" s="31"/>
      <c r="U41" s="31"/>
      <c r="V41" s="31"/>
      <c r="W41" s="31"/>
      <c r="X41" s="31"/>
    </row>
    <row r="42" spans="1:24" x14ac:dyDescent="0.3">
      <c r="A42" s="28" t="s">
        <v>49</v>
      </c>
      <c r="B42" s="31"/>
      <c r="C42" s="31"/>
      <c r="D42" s="31"/>
      <c r="E42" s="31"/>
      <c r="F42" s="31"/>
      <c r="H42" s="31"/>
      <c r="I42" s="31"/>
      <c r="J42" s="31"/>
      <c r="K42" s="31"/>
      <c r="L42" s="31"/>
      <c r="N42" s="33"/>
      <c r="O42" s="31"/>
      <c r="P42" s="31"/>
      <c r="Q42" s="31"/>
      <c r="R42" s="31"/>
      <c r="S42" s="31"/>
      <c r="T42" s="31"/>
      <c r="U42" s="31"/>
      <c r="V42" s="31"/>
      <c r="W42" s="31"/>
      <c r="X42" s="31"/>
    </row>
    <row r="43" spans="1:24" x14ac:dyDescent="0.3">
      <c r="A43" s="28" t="s">
        <v>50</v>
      </c>
      <c r="B43" s="31"/>
      <c r="C43" s="31"/>
      <c r="D43" s="31"/>
      <c r="E43" s="31"/>
      <c r="F43" s="31"/>
      <c r="H43" s="31"/>
      <c r="I43" s="31"/>
      <c r="J43" s="31"/>
      <c r="K43" s="31"/>
      <c r="L43" s="31"/>
      <c r="N43" s="33"/>
      <c r="O43" s="31"/>
      <c r="P43" s="31"/>
      <c r="Q43" s="31"/>
      <c r="R43" s="31"/>
      <c r="S43" s="31"/>
      <c r="T43" s="31"/>
      <c r="U43" s="31"/>
      <c r="V43" s="31"/>
      <c r="W43" s="31"/>
      <c r="X43" s="31"/>
    </row>
    <row r="44" spans="1:24" x14ac:dyDescent="0.3">
      <c r="A44" s="28" t="s">
        <v>51</v>
      </c>
      <c r="B44" s="31"/>
      <c r="C44" s="31"/>
      <c r="D44" s="31"/>
      <c r="E44" s="31"/>
      <c r="F44" s="31"/>
      <c r="H44" s="31"/>
      <c r="I44" s="31"/>
      <c r="J44" s="31"/>
      <c r="K44" s="31"/>
      <c r="L44" s="31"/>
      <c r="N44" s="33"/>
      <c r="O44" s="31"/>
      <c r="P44" s="31"/>
      <c r="Q44" s="31"/>
      <c r="R44" s="31"/>
      <c r="S44" s="31"/>
      <c r="T44" s="31"/>
      <c r="U44" s="31"/>
      <c r="V44" s="31"/>
      <c r="W44" s="31"/>
      <c r="X44" s="31"/>
    </row>
    <row r="45" spans="1:24" x14ac:dyDescent="0.3">
      <c r="A45" s="28"/>
    </row>
    <row r="46" spans="1:24" x14ac:dyDescent="0.3">
      <c r="A46" s="28"/>
    </row>
    <row r="47" spans="1:24" x14ac:dyDescent="0.3">
      <c r="A47" s="28"/>
    </row>
    <row r="48" spans="1:24" x14ac:dyDescent="0.3">
      <c r="A48" s="28"/>
    </row>
    <row r="49" spans="1:1" x14ac:dyDescent="0.3">
      <c r="A49" s="28"/>
    </row>
    <row r="50" spans="1:1" x14ac:dyDescent="0.3">
      <c r="A50" s="28"/>
    </row>
    <row r="51" spans="1:1" x14ac:dyDescent="0.3">
      <c r="A51" s="28"/>
    </row>
    <row r="52" spans="1:1" x14ac:dyDescent="0.3">
      <c r="A52" s="28"/>
    </row>
    <row r="53" spans="1:1" x14ac:dyDescent="0.3">
      <c r="A53" s="28"/>
    </row>
    <row r="54" spans="1:1" x14ac:dyDescent="0.3">
      <c r="A54" s="28"/>
    </row>
    <row r="55" spans="1:1" x14ac:dyDescent="0.3">
      <c r="A55" s="28"/>
    </row>
    <row r="56" spans="1:1" x14ac:dyDescent="0.3">
      <c r="A56" s="28"/>
    </row>
    <row r="57" spans="1:1" x14ac:dyDescent="0.3">
      <c r="A57" s="28"/>
    </row>
    <row r="58" spans="1:1" x14ac:dyDescent="0.3">
      <c r="A58" s="28"/>
    </row>
    <row r="59" spans="1:1" x14ac:dyDescent="0.3">
      <c r="A59" s="28"/>
    </row>
    <row r="60" spans="1:1" x14ac:dyDescent="0.3">
      <c r="A60" s="28"/>
    </row>
    <row r="61" spans="1:1" x14ac:dyDescent="0.3">
      <c r="A61" s="28"/>
    </row>
    <row r="62" spans="1:1" x14ac:dyDescent="0.3">
      <c r="A62" s="28"/>
    </row>
    <row r="63" spans="1:1" x14ac:dyDescent="0.3">
      <c r="A63" s="28"/>
    </row>
    <row r="64" spans="1:1" x14ac:dyDescent="0.3">
      <c r="A64" s="28"/>
    </row>
    <row r="65" spans="1:1" x14ac:dyDescent="0.3">
      <c r="A65" s="28"/>
    </row>
    <row r="66" spans="1:1" x14ac:dyDescent="0.3">
      <c r="A66" s="28"/>
    </row>
    <row r="67" spans="1:1" x14ac:dyDescent="0.3">
      <c r="A67" s="28"/>
    </row>
    <row r="68" spans="1:1" x14ac:dyDescent="0.3">
      <c r="A68" s="28"/>
    </row>
    <row r="69" spans="1:1" x14ac:dyDescent="0.3">
      <c r="A69" s="28"/>
    </row>
    <row r="70" spans="1:1" x14ac:dyDescent="0.3">
      <c r="A70" s="28"/>
    </row>
    <row r="71" spans="1:1" x14ac:dyDescent="0.3">
      <c r="A71" s="28"/>
    </row>
    <row r="72" spans="1:1" x14ac:dyDescent="0.3">
      <c r="A72" s="28"/>
    </row>
    <row r="73" spans="1:1" x14ac:dyDescent="0.3">
      <c r="A73" s="28"/>
    </row>
    <row r="74" spans="1:1" x14ac:dyDescent="0.3">
      <c r="A74" s="28"/>
    </row>
    <row r="75" spans="1:1" x14ac:dyDescent="0.3">
      <c r="A75" s="28"/>
    </row>
    <row r="76" spans="1:1" x14ac:dyDescent="0.3">
      <c r="A76" s="28"/>
    </row>
    <row r="77" spans="1:1" x14ac:dyDescent="0.3">
      <c r="A77" s="28"/>
    </row>
    <row r="78" spans="1:1" x14ac:dyDescent="0.3">
      <c r="A78" s="28"/>
    </row>
    <row r="79" spans="1:1" x14ac:dyDescent="0.3">
      <c r="A79" s="28"/>
    </row>
    <row r="80" spans="1:1" x14ac:dyDescent="0.3">
      <c r="A80" s="28"/>
    </row>
    <row r="81" spans="1:1" x14ac:dyDescent="0.3">
      <c r="A81" s="28"/>
    </row>
    <row r="82" spans="1:1" x14ac:dyDescent="0.3">
      <c r="A82" s="28"/>
    </row>
    <row r="83" spans="1:1" x14ac:dyDescent="0.3">
      <c r="A83" s="28"/>
    </row>
    <row r="84" spans="1:1" x14ac:dyDescent="0.3">
      <c r="A84" s="28"/>
    </row>
    <row r="85" spans="1:1" x14ac:dyDescent="0.3">
      <c r="A85" s="28"/>
    </row>
    <row r="86" spans="1:1" x14ac:dyDescent="0.3">
      <c r="A86" s="28"/>
    </row>
    <row r="87" spans="1:1" x14ac:dyDescent="0.3">
      <c r="A87" s="28"/>
    </row>
    <row r="88" spans="1:1" x14ac:dyDescent="0.3">
      <c r="A88" s="28"/>
    </row>
    <row r="89" spans="1:1" x14ac:dyDescent="0.3">
      <c r="A89" s="28"/>
    </row>
    <row r="90" spans="1:1" x14ac:dyDescent="0.3">
      <c r="A90" s="28"/>
    </row>
    <row r="91" spans="1:1" x14ac:dyDescent="0.3">
      <c r="A91" s="28"/>
    </row>
    <row r="92" spans="1:1" x14ac:dyDescent="0.3">
      <c r="A92" s="28"/>
    </row>
    <row r="93" spans="1:1" x14ac:dyDescent="0.3">
      <c r="A93" s="28"/>
    </row>
    <row r="94" spans="1:1" x14ac:dyDescent="0.3">
      <c r="A94" s="28"/>
    </row>
    <row r="95" spans="1:1" x14ac:dyDescent="0.3">
      <c r="A95" s="28"/>
    </row>
    <row r="96" spans="1:1" x14ac:dyDescent="0.3">
      <c r="A96" s="28"/>
    </row>
    <row r="97" spans="1:1" x14ac:dyDescent="0.3">
      <c r="A97" s="28"/>
    </row>
    <row r="98" spans="1:1" x14ac:dyDescent="0.3">
      <c r="A98" s="28"/>
    </row>
    <row r="99" spans="1:1" x14ac:dyDescent="0.3">
      <c r="A99" s="28"/>
    </row>
    <row r="100" spans="1:1" x14ac:dyDescent="0.3">
      <c r="A100" s="28"/>
    </row>
    <row r="101" spans="1:1" x14ac:dyDescent="0.3">
      <c r="A101" s="28"/>
    </row>
    <row r="102" spans="1:1" x14ac:dyDescent="0.3">
      <c r="A102" s="28"/>
    </row>
    <row r="103" spans="1:1" x14ac:dyDescent="0.3">
      <c r="A103" s="28"/>
    </row>
    <row r="104" spans="1:1" x14ac:dyDescent="0.3">
      <c r="A104" s="28"/>
    </row>
    <row r="105" spans="1:1" x14ac:dyDescent="0.3">
      <c r="A105" s="28"/>
    </row>
    <row r="106" spans="1:1" x14ac:dyDescent="0.3">
      <c r="A106" s="28"/>
    </row>
    <row r="107" spans="1:1" x14ac:dyDescent="0.3">
      <c r="A107" s="28"/>
    </row>
    <row r="108" spans="1:1" x14ac:dyDescent="0.3">
      <c r="A108" s="28"/>
    </row>
    <row r="109" spans="1:1" x14ac:dyDescent="0.3">
      <c r="A109" s="28"/>
    </row>
    <row r="110" spans="1:1" x14ac:dyDescent="0.3">
      <c r="A110" s="28"/>
    </row>
    <row r="111" spans="1:1" x14ac:dyDescent="0.3">
      <c r="A111" s="28"/>
    </row>
    <row r="112" spans="1:1" x14ac:dyDescent="0.3">
      <c r="A112" s="28"/>
    </row>
    <row r="113" spans="1:1" x14ac:dyDescent="0.3">
      <c r="A113" s="28"/>
    </row>
    <row r="114" spans="1:1" x14ac:dyDescent="0.3">
      <c r="A114" s="28"/>
    </row>
    <row r="115" spans="1:1" x14ac:dyDescent="0.3">
      <c r="A115" s="28"/>
    </row>
    <row r="116" spans="1:1" x14ac:dyDescent="0.3">
      <c r="A116" s="28"/>
    </row>
    <row r="117" spans="1:1" x14ac:dyDescent="0.3">
      <c r="A117" s="28"/>
    </row>
    <row r="118" spans="1:1" x14ac:dyDescent="0.3">
      <c r="A118" s="28"/>
    </row>
    <row r="119" spans="1:1" x14ac:dyDescent="0.3">
      <c r="A119" s="28"/>
    </row>
    <row r="120" spans="1:1" x14ac:dyDescent="0.3">
      <c r="A120" s="28"/>
    </row>
    <row r="121" spans="1:1" x14ac:dyDescent="0.3">
      <c r="A121" s="28"/>
    </row>
    <row r="122" spans="1:1" x14ac:dyDescent="0.3">
      <c r="A122" s="28"/>
    </row>
    <row r="123" spans="1:1" x14ac:dyDescent="0.3">
      <c r="A123" s="28"/>
    </row>
    <row r="124" spans="1:1" x14ac:dyDescent="0.3">
      <c r="A124" s="28"/>
    </row>
    <row r="125" spans="1:1" x14ac:dyDescent="0.3">
      <c r="A125" s="28"/>
    </row>
    <row r="126" spans="1:1" x14ac:dyDescent="0.3">
      <c r="A126" s="28"/>
    </row>
    <row r="127" spans="1:1" x14ac:dyDescent="0.3">
      <c r="A127" s="28"/>
    </row>
  </sheetData>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_Malkavian</vt:lpstr>
      <vt:lpstr>_Ventrue</vt:lpstr>
      <vt:lpstr>_Toreador</vt:lpstr>
      <vt:lpstr>_Nosferatu</vt:lpstr>
      <vt:lpstr>_Gangrel</vt:lpstr>
      <vt:lpstr>_Brujah</vt:lpstr>
      <vt:lpstr>Scheda V5</vt:lpstr>
      <vt:lpstr>Scheda V3</vt:lpstr>
      <vt:lpstr>Tempo</vt:lpstr>
      <vt:lpstr>Dadi</vt:lpstr>
      <vt:lpstr>Natura</vt:lpstr>
      <vt:lpstr>Esperienza</vt:lpstr>
      <vt:lpstr>Utilizo 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2025-11-27T22:24:48Z</cp:lastPrinted>
  <dcterms:created xsi:type="dcterms:W3CDTF">2025-10-05T22:02:24Z</dcterms:created>
  <dcterms:modified xsi:type="dcterms:W3CDTF">2025-11-27T22:31:28Z</dcterms:modified>
</cp:coreProperties>
</file>