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25FF27FC-1539-4027-B7CD-5AC961E36CFB}" xr6:coauthVersionLast="47" xr6:coauthVersionMax="47" xr10:uidLastSave="{00000000-0000-0000-0000-000000000000}"/>
  <bookViews>
    <workbookView xWindow="12216" yWindow="0" windowWidth="24120" windowHeight="16656" activeTab="5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  <sheet name="Emporio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9" l="1"/>
  <c r="A5" i="9"/>
  <c r="A6" i="9"/>
  <c r="A7" i="9"/>
  <c r="A8" i="9"/>
  <c r="A9" i="9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" i="9"/>
  <c r="P11" i="8"/>
  <c r="P11" i="7"/>
  <c r="P11" i="6"/>
  <c r="P11" i="5"/>
  <c r="P11" i="4"/>
  <c r="P11" i="3"/>
  <c r="E30" i="8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<sst xmlns="http://schemas.openxmlformats.org/spreadsheetml/2006/main" count="996" uniqueCount="353">
  <si>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</si>
  <si>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</si>
  <si>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</si>
  <si>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</si>
  <si>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</si>
  <si>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</si>
  <si>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</si>
  <si>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</si>
  <si>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</si>
  <si>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</si>
  <si>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</si>
  <si>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</si>
  <si>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</si>
  <si>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</si>
  <si>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</si>
  <si>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</si>
  <si>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</si>
  <si>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</si>
  <si>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</si>
  <si>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</si>
  <si>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</si>
  <si>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</si>
  <si>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</si>
  <si>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</si>
  <si>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</si>
  <si>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</si>
  <si>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</si>
  <si>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</si>
  <si>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</si>
  <si>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</si>
  <si>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</si>
  <si>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</si>
  <si>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</si>
  <si>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</si>
  <si>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</si>
  <si>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</si>
  <si>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</si>
  <si>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</si>
  <si>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</si>
  <si>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</si>
  <si>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</si>
  <si>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</si>
  <si>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</si>
  <si>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</si>
  <si>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</si>
  <si>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</si>
  <si>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</si>
  <si>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</si>
  <si>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</si>
  <si>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</si>
  <si>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</si>
  <si>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</si>
  <si>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</si>
  <si>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</si>
  <si>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</si>
  <si>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</si>
  <si>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</si>
  <si>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</si>
  <si>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</si>
  <si>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</si>
  <si>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</si>
  <si>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</si>
  <si>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</si>
  <si>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</si>
  <si>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</si>
  <si>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</si>
  <si>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</si>
  <si>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</si>
  <si>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</si>
  <si>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</si>
  <si>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</si>
  <si>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</si>
  <si>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</si>
  <si>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</si>
  <si>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</si>
  <si>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</si>
  <si>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</si>
  <si>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</si>
  <si>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</si>
  <si>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</si>
  <si>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</si>
  <si>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</si>
  <si>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</si>
  <si>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</si>
  <si>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</si>
  <si>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</si>
  <si>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</si>
  <si>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</si>
  <si>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</si>
  <si>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</si>
  <si>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</si>
  <si>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</si>
  <si>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</si>
  <si>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</si>
  <si>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</si>
  <si>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</si>
  <si>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</si>
  <si>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</si>
  <si>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</si>
  <si>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</si>
  <si>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</si>
  <si>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</si>
  <si>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</si>
  <si>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</si>
  <si>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</si>
  <si>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</si>
  <si>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</si>
  <si>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</si>
  <si>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</si>
  <si>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</si>
  <si>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</si>
  <si>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</si>
  <si>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</si>
  <si>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</si>
  <si>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</si>
  <si>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</si>
  <si>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</si>
  <si>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</si>
  <si>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</si>
  <si>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</si>
  <si>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</si>
  <si>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</si>
  <si>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</si>
  <si>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</si>
  <si>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</si>
  <si>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</si>
  <si>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</si>
  <si>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</si>
  <si>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</si>
  <si>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</si>
  <si>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</si>
  <si>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</si>
  <si>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</si>
  <si>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</si>
  <si>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</si>
  <si>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</si>
  <si>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</si>
  <si>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</si>
  <si>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</si>
  <si>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</si>
  <si>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</si>
  <si>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</si>
  <si>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</si>
  <si>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</si>
  <si>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</si>
  <si>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</si>
  <si>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</si>
  <si>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</si>
  <si>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</si>
  <si>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</si>
  <si>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</si>
  <si>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</si>
  <si>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</si>
  <si>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</si>
  <si>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</si>
  <si>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</si>
  <si>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</si>
  <si>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</si>
  <si>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</si>
  <si>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</si>
  <si>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</si>
  <si>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</si>
  <si>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</si>
  <si>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</si>
  <si>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</si>
  <si>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</si>
  <si>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</si>
  <si>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</si>
  <si>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</si>
  <si>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</si>
  <si>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</si>
  <si>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</si>
  <si>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</si>
  <si>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</si>
  <si>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</si>
  <si>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</si>
  <si>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</si>
  <si>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</si>
  <si>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</si>
  <si>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</si>
  <si>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</si>
  <si>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</si>
  <si>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</si>
  <si>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</si>
  <si>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</si>
  <si>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</si>
  <si>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</si>
  <si>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</si>
  <si>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</si>
  <si>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</si>
  <si>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</si>
  <si>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</si>
  <si>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</si>
  <si>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</si>
  <si>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</si>
  <si>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</si>
  <si>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</si>
  <si>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</si>
  <si>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</si>
  <si>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</si>
  <si>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</si>
  <si>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</si>
  <si>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</si>
  <si>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</si>
  <si>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</si>
  <si>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</si>
  <si>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</si>
  <si>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</si>
  <si>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</si>
  <si>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</si>
  <si>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</si>
  <si>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</si>
  <si>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</si>
  <si>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</si>
  <si>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</si>
  <si>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</si>
  <si>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</si>
  <si>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</si>
  <si>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</si>
  <si>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</si>
  <si>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</si>
  <si>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</si>
  <si>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</si>
  <si>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</si>
  <si>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Copertura vs area: Parz. +2 TS, Quasi tot. +4 TS</t>
  </si>
  <si>
    <t>by Maru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</si>
  <si>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</si>
  <si>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</si>
  <si>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</si>
  <si>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</si>
  <si>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</si>
  <si>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</si>
  <si>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</si>
  <si>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</si>
  <si>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</si>
  <si>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</si>
  <si>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</si>
  <si>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</si>
  <si>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</si>
  <si>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</si>
  <si>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</si>
  <si>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</si>
  <si>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</si>
  <si>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</si>
  <si>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</si>
  <si>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</si>
  <si>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</si>
  <si>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</si>
  <si>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</si>
  <si>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</si>
  <si>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</si>
  <si>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</si>
  <si>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</si>
  <si>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</si>
  <si>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</si>
  <si>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</si>
  <si>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</si>
  <si>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</si>
  <si>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</si>
  <si>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</si>
  <si>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</si>
  <si>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</si>
  <si>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</si>
  <si>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</si>
  <si>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</si>
  <si>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Qtà</t>
  </si>
  <si>
    <t>Costo</t>
  </si>
  <si>
    <t>Corda (15m)</t>
  </si>
  <si>
    <t>5 ma</t>
  </si>
  <si>
    <t>Asta 10 piedi</t>
  </si>
  <si>
    <t>Attiva trappole a distanza</t>
  </si>
  <si>
    <t>Torce (6)</t>
  </si>
  <si>
    <t>Luce 30', durata 1 ora, 1d4 danni</t>
  </si>
  <si>
    <t>Olio (fiasca)</t>
  </si>
  <si>
    <t>1 mo</t>
  </si>
  <si>
    <t>Lanciato: 1d8 danni per 2 round; a terra: 3' diametro, 1d8 a chi attraversa</t>
  </si>
  <si>
    <t>Lanterna</t>
  </si>
  <si>
    <t>5 mo</t>
  </si>
  <si>
    <t>Luce 30', durata 4 ore per fiasca olio</t>
  </si>
  <si>
    <t>Specchio (piccolo)</t>
  </si>
  <si>
    <t>2 mo</t>
  </si>
  <si>
    <t>Guardare angoli, riflettere sguardi</t>
  </si>
  <si>
    <t>Chiodi ferro (12)</t>
  </si>
  <si>
    <t>Bloccare/aprire porte</t>
  </si>
  <si>
    <t>Martello</t>
  </si>
  <si>
    <t>Sacco (grande)</t>
  </si>
  <si>
    <t>Contiene +3 slot, oggetti non fragili, 1 round per estrarre</t>
  </si>
  <si>
    <t>Gesso (12 pezzi)</t>
  </si>
  <si>
    <t>Segnare percorso</t>
  </si>
  <si>
    <t>Acqua Santa (fiala)</t>
  </si>
  <si>
    <t>12 mo</t>
  </si>
  <si>
    <t>1d8 danni a non-morti, ignora armatura</t>
  </si>
  <si>
    <t>Frecce (20)</t>
  </si>
  <si>
    <t>Quadrelli (30)</t>
  </si>
  <si>
    <t>Pietre fionda (20)</t>
  </si>
  <si>
    <t>Pozione Cura Leggera</t>
  </si>
  <si>
    <t>150 mo</t>
  </si>
  <si>
    <t>Cura 1d6+1 PF</t>
  </si>
  <si>
    <t>Pozione Cura Grave</t>
  </si>
  <si>
    <t>300 mo</t>
  </si>
  <si>
    <t>Cura 2d6+2 PF</t>
  </si>
  <si>
    <t>Pozione Velocità</t>
  </si>
  <si>
    <t>250 mo</t>
  </si>
  <si>
    <t>Movimento x2, durata 1 turno</t>
  </si>
  <si>
    <t>Pozione Invisibilità</t>
  </si>
  <si>
    <t>200 mo</t>
  </si>
  <si>
    <t>Invisibile finché non attacca</t>
  </si>
  <si>
    <t>Pozione Levitazione</t>
  </si>
  <si>
    <t>Muove verticalmente 6'/round, durata 6 turni</t>
  </si>
  <si>
    <t>Pergamena: Dardo Incantato</t>
  </si>
  <si>
    <t>50 mo</t>
  </si>
  <si>
    <t>1d6+1 danni, colpo automatico</t>
  </si>
  <si>
    <t>Pergamena: Scudo</t>
  </si>
  <si>
    <t>CA 2 vs missili, CA 4 vs mischia, durata 2 turni</t>
  </si>
  <si>
    <t>Pergamena: Invisibilità</t>
  </si>
  <si>
    <t>100 mo</t>
  </si>
  <si>
    <t>Pergamena: Ragnatela</t>
  </si>
  <si>
    <t>10'x10'x10', blocca movimento, FOR per liberarsi</t>
  </si>
  <si>
    <t>Pergamena: Palla di Fuoco</t>
  </si>
  <si>
    <t>6d6 danni, raggio 20' (4□), TS dimezza</t>
  </si>
  <si>
    <t>Pergamena: Fulmine</t>
  </si>
  <si>
    <t>6d6 danni, linea 60'x5' (12□x1□), rimbalza su muri, TS dimezza</t>
  </si>
  <si>
    <t>Pergamena: Cura Ferite Leggere</t>
  </si>
  <si>
    <t>Pergamena: Protezione dal Male</t>
  </si>
  <si>
    <t>-1 TxC nemici, +1 TS, durata 12 turni</t>
  </si>
  <si>
    <t>Pergamena: Luce</t>
  </si>
  <si>
    <t>Luce 15' raggio, durata 12 turni</t>
  </si>
  <si>
    <t>Pergamena: Benedizione</t>
  </si>
  <si>
    <t>Alleati +1 TxC e morale, durata 6 turni</t>
  </si>
  <si>
    <t xml:space="preserve">⅓ </t>
  </si>
  <si>
    <t>½</t>
  </si>
  <si>
    <t>Pergamena: Rimuovi Maledizione</t>
  </si>
  <si>
    <t>Rimuove una maledizione. Solo Chierico</t>
  </si>
  <si>
    <t>Pozione Resistenza al Freddo</t>
  </si>
  <si>
    <t>Immune danni freddo, 1 turno</t>
  </si>
  <si>
    <t>Pozione Forza Gigante</t>
  </si>
  <si>
    <t>FOR 18 (+3 TxC/danni), 1 turno</t>
  </si>
  <si>
    <t>Pozione Volo</t>
  </si>
  <si>
    <t>400 mo</t>
  </si>
  <si>
    <t>Vola 120', 1d6 turni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</si>
  <si>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</si>
  <si>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</si>
  <si>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</si>
  <si>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</si>
  <si>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</si>
  <si>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</si>
  <si>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</si>
  <si>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"Li ho fatti io, caro." Profumano di biscotti e senso di colpa.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</si>
  <si>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</si>
  <si>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</si>
  <si>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</si>
  <si>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"Compra ora, pentiti dopo. Se torni vivo, sconto del 10%."</t>
  </si>
  <si>
    <t>Copertura: Parziale -2 TxC | Quasi Totale -4 TxC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</si>
</sst>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8"/>
      <color theme="6"/>
      <name val="Aptos Narrow"/>
      <family val="2"/>
      <scheme val="minor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theme="1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0" xfId="0" applyFont="1"/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1" fillId="9" borderId="4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7" fillId="0" borderId="0" xfId="0" applyFont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9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29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30" fillId="4" borderId="15" xfId="0" applyFont="1" applyFill="1" applyBorder="1" applyAlignment="1">
      <alignment vertical="center"/>
    </xf>
    <xf numFmtId="0" fontId="29" fillId="0" borderId="15" xfId="0" applyFont="1" applyBorder="1" applyAlignment="1">
      <alignment vertical="center"/>
    </xf>
    <xf numFmtId="0" fontId="29" fillId="0" borderId="13" xfId="0" applyFont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29" fillId="0" borderId="13" xfId="0" applyFont="1" applyBorder="1" applyAlignment="1">
      <alignment vertical="center"/>
    </xf>
    <xf numFmtId="0" fontId="28" fillId="0" borderId="16" xfId="0" applyFont="1" applyBorder="1" applyAlignment="1">
      <alignment horizontal="center" vertical="center"/>
    </xf>
    <xf numFmtId="0" fontId="29" fillId="0" borderId="16" xfId="0" applyFont="1" applyBorder="1" applyAlignment="1">
      <alignment vertical="center"/>
    </xf>
    <xf numFmtId="0" fontId="30" fillId="0" borderId="18" xfId="0" applyFont="1" applyBorder="1" applyAlignment="1">
      <alignment horizontal="center" vertical="center"/>
    </xf>
    <xf numFmtId="164" fontId="29" fillId="0" borderId="16" xfId="1" applyNumberFormat="1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5" xfId="0" applyBorder="1" applyAlignment="1">
      <alignment horizontal="left"/>
    </xf>
    <xf numFmtId="0" fontId="1" fillId="0" borderId="1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0" fillId="7" borderId="15" xfId="0" applyFill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7" fillId="0" borderId="15" xfId="0" applyFont="1" applyBorder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30" fillId="0" borderId="18" xfId="0" applyFont="1" applyBorder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31" fillId="0" borderId="16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35" fillId="0" borderId="13" xfId="0" applyFont="1" applyBorder="1" applyAlignment="1">
      <alignment horizontal="left" vertical="center"/>
    </xf>
    <xf numFmtId="0" fontId="35" fillId="0" borderId="15" xfId="0" applyFont="1" applyBorder="1" applyAlignment="1">
      <alignment vertical="center"/>
    </xf>
    <xf numFmtId="0" fontId="35" fillId="0" borderId="13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3" borderId="0" xfId="0" applyFont="1" applyFill="1"/>
    <xf numFmtId="0" fontId="20" fillId="13" borderId="0" xfId="0" applyFont="1" applyFill="1" applyAlignment="1">
      <alignment horizontal="left"/>
    </xf>
    <xf numFmtId="0" fontId="20" fillId="12" borderId="0" xfId="0" applyFont="1" applyFill="1" applyAlignment="1">
      <alignment horizontal="left" vertical="center"/>
    </xf>
    <xf numFmtId="0" fontId="20" fillId="12" borderId="0" xfId="0" applyFont="1" applyFill="1" applyAlignment="1">
      <alignment vertical="center"/>
    </xf>
    <xf numFmtId="0" fontId="20" fillId="1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vertical="center"/>
    </xf>
    <xf numFmtId="0" fontId="25" fillId="8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left"/>
    </xf>
    <xf numFmtId="0" fontId="0" fillId="11" borderId="0" xfId="0" applyFill="1"/>
    <xf numFmtId="0" fontId="11" fillId="0" borderId="0" xfId="0" applyFont="1"/>
    <xf numFmtId="0" fontId="38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26" fillId="0" borderId="0" xfId="0" applyFont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40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9" fillId="4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32" fillId="0" borderId="0" xfId="0" applyFont="1" applyAlignment="1">
      <alignment vertical="center"/>
    </xf>
    <xf numFmtId="0" fontId="31" fillId="0" borderId="0" xfId="0" applyFont="1" applyAlignment="1">
      <alignment horizontal="right" vertical="center"/>
    </xf>
    <xf numFmtId="0" fontId="30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3" fillId="0" borderId="0" xfId="0" applyFont="1"/>
    <xf numFmtId="0" fontId="33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0" fillId="0" borderId="16" xfId="0" applyBorder="1"/>
    <xf numFmtId="0" fontId="24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11" fillId="0" borderId="2" xfId="0" applyFont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4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9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20" fillId="5" borderId="0" xfId="0" applyFont="1" applyFill="1" applyAlignment="1">
      <alignment horizontal="center" vertical="center"/>
    </xf>
    <xf numFmtId="0" fontId="20" fillId="5" borderId="16" xfId="0" applyFont="1" applyFill="1" applyBorder="1" applyAlignment="1">
      <alignment horizontal="center" vertical="center"/>
    </xf>
    <xf numFmtId="0" fontId="36" fillId="9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3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20" fillId="14" borderId="0" xfId="0" applyFont="1" applyFill="1" applyAlignment="1">
      <alignment horizontal="center" vertical="center"/>
    </xf>
    <xf numFmtId="0" fontId="24" fillId="15" borderId="0" xfId="0" applyFont="1" applyFill="1" applyAlignment="1">
      <alignment horizontal="left" vertical="center" wrapText="1"/>
    </xf>
    <xf numFmtId="0" fontId="18" fillId="15" borderId="0" xfId="0" applyFont="1" applyFill="1" applyAlignment="1">
      <alignment horizontal="center" vertical="center" wrapText="1"/>
    </xf>
    <xf numFmtId="0" fontId="18" fillId="15" borderId="0" xfId="0" applyFont="1" applyFill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42" fillId="0" borderId="0" xfId="0" applyFont="1" applyAlignment="1">
      <alignment horizontal="center" vertical="center" wrapText="1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B1:F39" totalsRowShown="0" headerRowDxfId="0" dataDxfId="1">
  <tableColumns count="5">
    <tableColumn id="1" xr3:uid="{BE96BCF5-334D-4F20-8722-3145ABDC81EA}" name="Oggetto" dataDxfId="6"/>
    <tableColumn id="2" xr3:uid="{23DBEE6D-E19E-482F-A20A-3F3284C9D84B}" name="Qtà" dataDxfId="5"/>
    <tableColumn id="3" xr3:uid="{CE44C6FC-0DBC-4316-AC79-C083711A35A2}" name="Costo" dataDxfId="4"/>
    <tableColumn id="4" xr3:uid="{13F2738A-AAED-4162-A6FC-D1A5B56EBD56}" name="Slot" dataDxfId="3"/>
    <tableColumn id="5" xr3:uid="{C208413F-8AA4-49BE-A972-17EB9781744E}" name="Note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24" zoomScale="120" zoomScaleNormal="120" workbookViewId="0">
      <selection activeCell="J46" sqref="J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195</v>
      </c>
      <c r="C1" s="45"/>
      <c r="D1" s="46"/>
      <c r="E1" s="47"/>
      <c r="F1" s="48"/>
      <c r="G1" s="49" t="s">
        <v>165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196</v>
      </c>
      <c r="C2" s="35"/>
      <c r="D2" s="117"/>
      <c r="E2" s="36" t="s">
        <v>33</v>
      </c>
      <c r="F2" s="37"/>
      <c r="G2" s="37" t="s">
        <v>196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3</v>
      </c>
      <c r="C4" s="1"/>
      <c r="E4" s="121" t="s">
        <v>46</v>
      </c>
      <c r="F4" s="122">
        <v>20</v>
      </c>
      <c r="G4" s="123" t="s">
        <v>63</v>
      </c>
      <c r="H4" s="1"/>
      <c r="I4" s="1"/>
      <c r="J4" s="124"/>
      <c r="L4" s="125" t="s">
        <v>93</v>
      </c>
      <c r="M4" s="122">
        <v>2</v>
      </c>
      <c r="N4" s="1"/>
      <c r="O4" s="121" t="s">
        <v>9</v>
      </c>
      <c r="P4" s="88">
        <v>25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14</v>
      </c>
      <c r="B6" s="126" t="s">
        <v>2</v>
      </c>
      <c r="C6" s="177" t="s">
        <v>169</v>
      </c>
      <c r="D6" s="177"/>
      <c r="E6" s="177"/>
      <c r="F6" s="177"/>
      <c r="G6" s="177"/>
      <c r="H6" s="177"/>
      <c r="I6" s="177"/>
      <c r="J6" s="127">
        <v>1</v>
      </c>
      <c r="K6" s="127"/>
      <c r="M6" s="178" t="s">
        <v>51</v>
      </c>
      <c r="N6" s="178"/>
      <c r="O6" s="178"/>
      <c r="P6" s="61">
        <v>6</v>
      </c>
    </row>
    <row r="7" spans="1:16" ht="32.4" customHeight="1" x14ac:dyDescent="0.3">
      <c r="A7" s="60">
        <v>14</v>
      </c>
      <c r="B7" s="126" t="s">
        <v>3</v>
      </c>
      <c r="C7" s="177" t="s">
        <v>116</v>
      </c>
      <c r="D7" s="177"/>
      <c r="E7" s="177"/>
      <c r="F7" s="177"/>
      <c r="G7" s="177"/>
      <c r="H7" s="177"/>
      <c r="I7" s="177"/>
      <c r="J7" s="127">
        <v>1</v>
      </c>
      <c r="K7" s="127"/>
      <c r="M7" s="178" t="s">
        <v>11</v>
      </c>
      <c r="N7" s="178"/>
      <c r="O7" s="178"/>
      <c r="P7" s="61">
        <v>7</v>
      </c>
    </row>
    <row r="8" spans="1:16" ht="32.4" customHeight="1" x14ac:dyDescent="0.3">
      <c r="A8" s="60">
        <v>9</v>
      </c>
      <c r="B8" s="126" t="s">
        <v>4</v>
      </c>
      <c r="C8" s="177" t="s">
        <v>87</v>
      </c>
      <c r="D8" s="177"/>
      <c r="E8" s="177"/>
      <c r="F8" s="177"/>
      <c r="G8" s="177"/>
      <c r="H8" s="177"/>
      <c r="I8" s="177"/>
      <c r="J8" s="127">
        <v>0</v>
      </c>
      <c r="K8" s="127"/>
      <c r="M8" s="178" t="s">
        <v>14</v>
      </c>
      <c r="N8" s="178"/>
      <c r="O8" s="178"/>
      <c r="P8" s="61">
        <v>8</v>
      </c>
    </row>
    <row r="9" spans="1:16" ht="32.4" customHeight="1" x14ac:dyDescent="0.3">
      <c r="A9" s="60">
        <v>13</v>
      </c>
      <c r="B9" s="126" t="s">
        <v>5</v>
      </c>
      <c r="C9" s="177" t="s">
        <v>131</v>
      </c>
      <c r="D9" s="177"/>
      <c r="E9" s="177"/>
      <c r="F9" s="177"/>
      <c r="G9" s="177"/>
      <c r="H9" s="177"/>
      <c r="I9" s="177"/>
      <c r="J9" s="127">
        <v>1</v>
      </c>
      <c r="K9" s="127"/>
      <c r="M9" s="178" t="s">
        <v>12</v>
      </c>
      <c r="N9" s="178"/>
      <c r="O9" s="178"/>
      <c r="P9" s="61">
        <v>10</v>
      </c>
    </row>
    <row r="10" spans="1:16" ht="32.4" customHeight="1" x14ac:dyDescent="0.3">
      <c r="A10" s="60">
        <v>12</v>
      </c>
      <c r="B10" s="126" t="s">
        <v>6</v>
      </c>
      <c r="C10" s="177" t="s">
        <v>87</v>
      </c>
      <c r="D10" s="177"/>
      <c r="E10" s="177"/>
      <c r="F10" s="177"/>
      <c r="G10" s="177"/>
      <c r="H10" s="177"/>
      <c r="I10" s="177"/>
      <c r="J10" s="127">
        <v>0</v>
      </c>
      <c r="K10" s="127"/>
      <c r="M10" s="178" t="s">
        <v>13</v>
      </c>
      <c r="N10" s="178"/>
      <c r="O10" s="178"/>
      <c r="P10" s="61">
        <v>10</v>
      </c>
    </row>
    <row r="11" spans="1:16" ht="32.4" customHeight="1" x14ac:dyDescent="0.3">
      <c r="A11" s="60">
        <v>11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3" t="s">
        <v>190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f>I14*3</f>
        <v>60</v>
      </c>
      <c r="J15" s="134">
        <f>K15*1.5</f>
        <v>18</v>
      </c>
      <c r="K15" s="134">
        <f t="shared" ref="K15:K18" si="0">I15/5</f>
        <v>12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f>I14*3</f>
        <v>60</v>
      </c>
      <c r="J16" s="1">
        <f>K16*1.5</f>
        <v>18</v>
      </c>
      <c r="K16" s="1">
        <f t="shared" si="0"/>
        <v>12</v>
      </c>
      <c r="N16" s="3" t="s">
        <v>198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10</v>
      </c>
      <c r="J17" s="134">
        <f>K17*1.5</f>
        <v>3</v>
      </c>
      <c r="K17" s="134">
        <f t="shared" si="0"/>
        <v>2</v>
      </c>
      <c r="N17" s="3" t="s">
        <v>60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10</v>
      </c>
      <c r="J18" s="1">
        <f>K18*1.5</f>
        <v>3</v>
      </c>
      <c r="K18" s="1">
        <f t="shared" si="0"/>
        <v>2</v>
      </c>
      <c r="N18" s="3" t="s">
        <v>59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147</v>
      </c>
      <c r="J19" s="137" t="s">
        <v>69</v>
      </c>
      <c r="K19" s="137"/>
      <c r="N19" s="3" t="s">
        <v>197</v>
      </c>
      <c r="P19" s="57"/>
    </row>
    <row r="20" spans="1:16" s="3" customFormat="1" ht="15.6" customHeight="1" x14ac:dyDescent="0.3">
      <c r="A20" s="68" t="s">
        <v>241</v>
      </c>
      <c r="B20" s="42"/>
      <c r="N20" s="179" t="s">
        <v>179</v>
      </c>
      <c r="O20" s="179"/>
      <c r="P20" s="180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69"/>
      <c r="P21" s="69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8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C25" s="170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C26" s="170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72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N28" s="172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75"/>
      <c r="B31" s="23"/>
      <c r="E31" s="138"/>
      <c r="P31" s="62"/>
    </row>
    <row r="32" spans="1:16" ht="15.6" customHeight="1" x14ac:dyDescent="0.3">
      <c r="A32" s="76"/>
      <c r="B32" s="166"/>
      <c r="C32" s="170"/>
      <c r="E32" s="138"/>
      <c r="G32" s="130"/>
      <c r="I32" s="130"/>
      <c r="N32" s="29" t="s">
        <v>29</v>
      </c>
      <c r="O32" s="31"/>
      <c r="P32" s="59"/>
    </row>
    <row r="33" spans="1:27" ht="15.6" customHeight="1" x14ac:dyDescent="0.3">
      <c r="A33" s="77" t="s">
        <v>204</v>
      </c>
      <c r="B33" s="5"/>
      <c r="C33" s="170"/>
      <c r="N33" s="2" t="s">
        <v>54</v>
      </c>
      <c r="P33" s="62"/>
    </row>
    <row r="34" spans="1:27" ht="15.6" customHeight="1" x14ac:dyDescent="0.3">
      <c r="A34" s="77" t="s">
        <v>202</v>
      </c>
      <c r="B34" s="5"/>
      <c r="C34" s="170"/>
      <c r="N34" s="2" t="s">
        <v>205</v>
      </c>
      <c r="P34" s="62"/>
    </row>
    <row r="35" spans="1:27" x14ac:dyDescent="0.3">
      <c r="A35" s="77" t="s">
        <v>203</v>
      </c>
      <c r="B35" s="5"/>
      <c r="C35" s="170"/>
      <c r="N35" s="2" t="s">
        <v>55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199</v>
      </c>
      <c r="B38" s="1" t="s">
        <v>23</v>
      </c>
      <c r="C38" s="146">
        <v>7</v>
      </c>
      <c r="D38" s="147">
        <f>C38+1</f>
        <v>8</v>
      </c>
      <c r="E38" s="146">
        <f t="shared" ref="E38:L38" si="2">D38+1</f>
        <v>9</v>
      </c>
      <c r="F38" s="147">
        <f t="shared" si="2"/>
        <v>10</v>
      </c>
      <c r="G38" s="146">
        <f t="shared" si="2"/>
        <v>11</v>
      </c>
      <c r="H38" s="147">
        <f t="shared" si="2"/>
        <v>12</v>
      </c>
      <c r="I38" s="146">
        <f t="shared" si="2"/>
        <v>13</v>
      </c>
      <c r="J38" s="147">
        <f t="shared" si="2"/>
        <v>14</v>
      </c>
      <c r="K38" s="146">
        <f t="shared" si="2"/>
        <v>15</v>
      </c>
      <c r="L38" s="147">
        <f t="shared" si="2"/>
        <v>16</v>
      </c>
      <c r="M38" s="182" t="s">
        <v>200</v>
      </c>
      <c r="N38" s="182"/>
      <c r="P38" s="62"/>
    </row>
    <row r="39" spans="1:27" ht="18" x14ac:dyDescent="0.3">
      <c r="A39" s="77" t="s">
        <v>24</v>
      </c>
      <c r="B39" s="1" t="s">
        <v>23</v>
      </c>
      <c r="C39" s="146">
        <v>7</v>
      </c>
      <c r="D39" s="147">
        <f t="shared" ref="D39:L40" si="3">C39+1</f>
        <v>8</v>
      </c>
      <c r="E39" s="146">
        <f t="shared" si="3"/>
        <v>9</v>
      </c>
      <c r="F39" s="147">
        <f t="shared" si="3"/>
        <v>10</v>
      </c>
      <c r="G39" s="146">
        <f t="shared" si="3"/>
        <v>11</v>
      </c>
      <c r="H39" s="147">
        <f t="shared" si="3"/>
        <v>12</v>
      </c>
      <c r="I39" s="146">
        <f t="shared" si="3"/>
        <v>13</v>
      </c>
      <c r="J39" s="147">
        <f t="shared" si="3"/>
        <v>14</v>
      </c>
      <c r="K39" s="146">
        <f t="shared" si="3"/>
        <v>15</v>
      </c>
      <c r="L39" s="147">
        <f t="shared" si="3"/>
        <v>16</v>
      </c>
      <c r="M39" s="183" t="s">
        <v>176</v>
      </c>
      <c r="N39" s="183"/>
      <c r="O39" s="3" t="s">
        <v>118</v>
      </c>
      <c r="P39" s="62"/>
      <c r="AA39"/>
    </row>
    <row r="40" spans="1:27" ht="18.600000000000001" thickBot="1" x14ac:dyDescent="0.35">
      <c r="A40" s="79" t="s">
        <v>53</v>
      </c>
      <c r="B40" s="80" t="s">
        <v>80</v>
      </c>
      <c r="C40" s="81">
        <v>6</v>
      </c>
      <c r="D40" s="82">
        <f t="shared" si="3"/>
        <v>7</v>
      </c>
      <c r="E40" s="81">
        <f t="shared" si="3"/>
        <v>8</v>
      </c>
      <c r="F40" s="82">
        <f t="shared" si="3"/>
        <v>9</v>
      </c>
      <c r="G40" s="81">
        <f t="shared" si="3"/>
        <v>10</v>
      </c>
      <c r="H40" s="82">
        <f t="shared" si="3"/>
        <v>11</v>
      </c>
      <c r="I40" s="81">
        <f t="shared" si="3"/>
        <v>12</v>
      </c>
      <c r="J40" s="82">
        <f t="shared" si="3"/>
        <v>13</v>
      </c>
      <c r="K40" s="81">
        <f t="shared" si="3"/>
        <v>14</v>
      </c>
      <c r="L40" s="82">
        <f t="shared" si="3"/>
        <v>15</v>
      </c>
      <c r="M40" s="184" t="s">
        <v>84</v>
      </c>
      <c r="N40" s="184"/>
      <c r="O40" s="83" t="s">
        <v>201</v>
      </c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24" zoomScale="120" zoomScaleNormal="120" workbookViewId="0">
      <selection activeCell="K45" sqref="K45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181</v>
      </c>
      <c r="C1" s="45"/>
      <c r="D1" s="46"/>
      <c r="E1" s="47"/>
      <c r="F1" s="48"/>
      <c r="G1" s="49" t="s">
        <v>191</v>
      </c>
      <c r="H1" s="45"/>
      <c r="I1" s="48"/>
      <c r="J1" s="50"/>
      <c r="K1" s="51" t="s">
        <v>34</v>
      </c>
      <c r="L1" s="46"/>
      <c r="M1" s="46"/>
      <c r="N1" s="52" t="s">
        <v>183</v>
      </c>
      <c r="O1" s="45"/>
      <c r="P1" s="53"/>
    </row>
    <row r="2" spans="1:16" ht="20.399999999999999" customHeight="1" x14ac:dyDescent="0.3">
      <c r="A2" s="54" t="s">
        <v>94</v>
      </c>
      <c r="B2" s="35" t="s">
        <v>182</v>
      </c>
      <c r="C2" s="35"/>
      <c r="D2" s="117"/>
      <c r="E2" s="36" t="s">
        <v>33</v>
      </c>
      <c r="F2" s="37"/>
      <c r="G2" s="37" t="s">
        <v>182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4</v>
      </c>
      <c r="C4" s="1"/>
      <c r="E4" s="121" t="s">
        <v>46</v>
      </c>
      <c r="F4" s="122">
        <v>24</v>
      </c>
      <c r="G4" s="123" t="s">
        <v>110</v>
      </c>
      <c r="H4" s="1"/>
      <c r="I4" s="1"/>
      <c r="J4" s="124"/>
      <c r="L4" s="125" t="s">
        <v>93</v>
      </c>
      <c r="M4" s="122">
        <v>0</v>
      </c>
      <c r="N4" s="1"/>
      <c r="O4" s="121" t="s">
        <v>9</v>
      </c>
      <c r="P4" s="88">
        <v>30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16</v>
      </c>
      <c r="B6" s="126" t="s">
        <v>2</v>
      </c>
      <c r="C6" s="177" t="s">
        <v>115</v>
      </c>
      <c r="D6" s="177"/>
      <c r="E6" s="177"/>
      <c r="F6" s="177"/>
      <c r="G6" s="177"/>
      <c r="H6" s="177"/>
      <c r="I6" s="177"/>
      <c r="J6" s="127">
        <v>2</v>
      </c>
      <c r="K6" s="127"/>
      <c r="M6" s="178" t="s">
        <v>51</v>
      </c>
      <c r="N6" s="178"/>
      <c r="O6" s="178"/>
      <c r="P6" s="61">
        <v>10</v>
      </c>
    </row>
    <row r="7" spans="1:16" ht="32.4" customHeight="1" x14ac:dyDescent="0.3">
      <c r="A7" s="60">
        <v>12</v>
      </c>
      <c r="B7" s="126" t="s">
        <v>3</v>
      </c>
      <c r="C7" s="177" t="s">
        <v>87</v>
      </c>
      <c r="D7" s="177"/>
      <c r="E7" s="177"/>
      <c r="F7" s="177"/>
      <c r="G7" s="177"/>
      <c r="H7" s="177"/>
      <c r="I7" s="177"/>
      <c r="J7" s="127">
        <v>0</v>
      </c>
      <c r="K7" s="127"/>
      <c r="M7" s="178" t="s">
        <v>11</v>
      </c>
      <c r="N7" s="178"/>
      <c r="O7" s="178"/>
      <c r="P7" s="61">
        <v>11</v>
      </c>
    </row>
    <row r="8" spans="1:16" ht="32.4" customHeight="1" x14ac:dyDescent="0.3">
      <c r="A8" s="60">
        <v>13</v>
      </c>
      <c r="B8" s="126" t="s">
        <v>4</v>
      </c>
      <c r="C8" s="177" t="s">
        <v>130</v>
      </c>
      <c r="D8" s="177"/>
      <c r="E8" s="177"/>
      <c r="F8" s="177"/>
      <c r="G8" s="177"/>
      <c r="H8" s="177"/>
      <c r="I8" s="177"/>
      <c r="J8" s="127">
        <v>1</v>
      </c>
      <c r="K8" s="127"/>
      <c r="M8" s="178" t="s">
        <v>14</v>
      </c>
      <c r="N8" s="178"/>
      <c r="O8" s="178"/>
      <c r="P8" s="61">
        <v>11</v>
      </c>
    </row>
    <row r="9" spans="1:16" ht="32.4" customHeight="1" x14ac:dyDescent="0.3">
      <c r="A9" s="60">
        <v>17</v>
      </c>
      <c r="B9" s="126" t="s">
        <v>5</v>
      </c>
      <c r="C9" s="177" t="s">
        <v>131</v>
      </c>
      <c r="D9" s="177"/>
      <c r="E9" s="177"/>
      <c r="F9" s="177"/>
      <c r="G9" s="177"/>
      <c r="H9" s="177"/>
      <c r="I9" s="177"/>
      <c r="J9" s="127">
        <v>2</v>
      </c>
      <c r="K9" s="127"/>
      <c r="M9" s="178" t="s">
        <v>12</v>
      </c>
      <c r="N9" s="178"/>
      <c r="O9" s="178"/>
      <c r="P9" s="61">
        <v>13</v>
      </c>
    </row>
    <row r="10" spans="1:16" ht="32.4" customHeight="1" x14ac:dyDescent="0.3">
      <c r="A10" s="60">
        <v>11</v>
      </c>
      <c r="B10" s="126" t="s">
        <v>6</v>
      </c>
      <c r="C10" s="177" t="s">
        <v>87</v>
      </c>
      <c r="D10" s="177"/>
      <c r="E10" s="177"/>
      <c r="F10" s="177"/>
      <c r="G10" s="177"/>
      <c r="H10" s="177"/>
      <c r="I10" s="177"/>
      <c r="J10" s="127">
        <v>0</v>
      </c>
      <c r="K10" s="127"/>
      <c r="M10" s="178" t="s">
        <v>13</v>
      </c>
      <c r="N10" s="178"/>
      <c r="O10" s="178"/>
      <c r="P10" s="61">
        <v>12</v>
      </c>
    </row>
    <row r="11" spans="1:16" ht="32.4" customHeight="1" x14ac:dyDescent="0.3">
      <c r="A11" s="60">
        <v>10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30</v>
      </c>
      <c r="J14" s="1">
        <f>K14*1.5</f>
        <v>9</v>
      </c>
      <c r="K14" s="1">
        <f>I14/5</f>
        <v>6</v>
      </c>
      <c r="N14" s="3" t="s">
        <v>190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f>I14*3</f>
        <v>90</v>
      </c>
      <c r="J15" s="134">
        <f>K15*1.5</f>
        <v>27</v>
      </c>
      <c r="K15" s="134">
        <f t="shared" ref="K15:K18" si="0">I15/5</f>
        <v>18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f>I14*3</f>
        <v>90</v>
      </c>
      <c r="J16" s="1">
        <f>K16*1.5</f>
        <v>27</v>
      </c>
      <c r="K16" s="1">
        <f t="shared" si="0"/>
        <v>18</v>
      </c>
      <c r="N16" s="3" t="s">
        <v>154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15</v>
      </c>
      <c r="J17" s="134">
        <f>K17*1.5</f>
        <v>4.5</v>
      </c>
      <c r="K17" s="134">
        <f t="shared" si="0"/>
        <v>3</v>
      </c>
      <c r="N17" s="3" t="s">
        <v>113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15</v>
      </c>
      <c r="J18" s="1">
        <f>K18*1.5</f>
        <v>4.5</v>
      </c>
      <c r="K18" s="1">
        <f t="shared" si="0"/>
        <v>3</v>
      </c>
      <c r="N18" s="3" t="s">
        <v>60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193</v>
      </c>
      <c r="J19" s="137" t="s">
        <v>194</v>
      </c>
      <c r="K19" s="137"/>
      <c r="N19" s="3" t="s">
        <v>137</v>
      </c>
      <c r="P19" s="57"/>
    </row>
    <row r="20" spans="1:16" s="3" customFormat="1" ht="15.6" customHeight="1" x14ac:dyDescent="0.3">
      <c r="A20" s="68" t="s">
        <v>241</v>
      </c>
      <c r="B20" s="42"/>
      <c r="N20" s="179" t="s">
        <v>120</v>
      </c>
      <c r="O20" s="179"/>
      <c r="P20" s="180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N21" s="3" t="s">
        <v>179</v>
      </c>
      <c r="P21" s="69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F22" s="3"/>
      <c r="N22" s="139"/>
      <c r="O22" s="139" t="s">
        <v>46</v>
      </c>
      <c r="P22" s="71">
        <v>12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64" t="s">
        <v>41</v>
      </c>
      <c r="B31" s="29"/>
      <c r="C31" s="34" t="s">
        <v>97</v>
      </c>
      <c r="D31" s="31"/>
      <c r="E31" s="34" t="s">
        <v>98</v>
      </c>
      <c r="F31" s="31"/>
      <c r="G31" s="34" t="s">
        <v>99</v>
      </c>
      <c r="H31" s="31"/>
      <c r="I31" s="34"/>
      <c r="J31" s="31"/>
      <c r="K31" s="31"/>
      <c r="N31" s="29" t="s">
        <v>29</v>
      </c>
      <c r="O31" s="31"/>
      <c r="P31" s="59"/>
    </row>
    <row r="32" spans="1:16" x14ac:dyDescent="0.3">
      <c r="A32" s="85" t="s">
        <v>30</v>
      </c>
      <c r="B32" s="2" t="s">
        <v>188</v>
      </c>
      <c r="N32" s="2" t="s">
        <v>184</v>
      </c>
      <c r="P32" s="62"/>
    </row>
    <row r="33" spans="1:27" x14ac:dyDescent="0.3">
      <c r="A33" s="85" t="s">
        <v>31</v>
      </c>
      <c r="B33" s="2" t="s">
        <v>189</v>
      </c>
      <c r="N33" s="2" t="s">
        <v>32</v>
      </c>
      <c r="P33" s="62"/>
    </row>
    <row r="34" spans="1:27" x14ac:dyDescent="0.3">
      <c r="A34" s="85" t="s">
        <v>38</v>
      </c>
      <c r="B34" s="2" t="s">
        <v>187</v>
      </c>
      <c r="N34" s="2" t="s">
        <v>192</v>
      </c>
      <c r="P34" s="62"/>
    </row>
    <row r="35" spans="1:27" x14ac:dyDescent="0.3">
      <c r="A35" s="63"/>
      <c r="N35" s="2" t="s">
        <v>185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148</v>
      </c>
      <c r="B38" s="1" t="s">
        <v>23</v>
      </c>
      <c r="C38" s="146">
        <v>6</v>
      </c>
      <c r="D38" s="147">
        <f>C38+1</f>
        <v>7</v>
      </c>
      <c r="E38" s="146">
        <f t="shared" ref="E38:L38" si="2">D38+1</f>
        <v>8</v>
      </c>
      <c r="F38" s="147">
        <f t="shared" si="2"/>
        <v>9</v>
      </c>
      <c r="G38" s="146">
        <f t="shared" si="2"/>
        <v>10</v>
      </c>
      <c r="H38" s="147">
        <f t="shared" si="2"/>
        <v>11</v>
      </c>
      <c r="I38" s="146">
        <f t="shared" si="2"/>
        <v>12</v>
      </c>
      <c r="J38" s="147">
        <f t="shared" si="2"/>
        <v>13</v>
      </c>
      <c r="K38" s="146">
        <f t="shared" si="2"/>
        <v>14</v>
      </c>
      <c r="L38" s="147">
        <f t="shared" si="2"/>
        <v>15</v>
      </c>
      <c r="M38" s="182" t="s">
        <v>186</v>
      </c>
      <c r="N38" s="182"/>
      <c r="P38" s="62"/>
    </row>
    <row r="39" spans="1:27" ht="18" x14ac:dyDescent="0.3">
      <c r="A39" s="77" t="s">
        <v>24</v>
      </c>
      <c r="B39" s="1" t="s">
        <v>23</v>
      </c>
      <c r="C39" s="146">
        <v>6</v>
      </c>
      <c r="D39" s="147">
        <f t="shared" ref="D39:L40" si="3">C39+1</f>
        <v>7</v>
      </c>
      <c r="E39" s="146">
        <f t="shared" si="3"/>
        <v>8</v>
      </c>
      <c r="F39" s="147">
        <f t="shared" si="3"/>
        <v>9</v>
      </c>
      <c r="G39" s="146">
        <f t="shared" si="3"/>
        <v>10</v>
      </c>
      <c r="H39" s="147">
        <f t="shared" si="3"/>
        <v>11</v>
      </c>
      <c r="I39" s="146">
        <f t="shared" si="3"/>
        <v>12</v>
      </c>
      <c r="J39" s="147">
        <f t="shared" si="3"/>
        <v>13</v>
      </c>
      <c r="K39" s="146">
        <f t="shared" si="3"/>
        <v>14</v>
      </c>
      <c r="L39" s="147">
        <f t="shared" si="3"/>
        <v>15</v>
      </c>
      <c r="M39" s="183" t="s">
        <v>108</v>
      </c>
      <c r="N39" s="183"/>
      <c r="O39" s="3"/>
      <c r="P39" s="62"/>
      <c r="AA39"/>
    </row>
    <row r="40" spans="1:27" ht="18.600000000000001" thickBot="1" x14ac:dyDescent="0.35">
      <c r="A40" s="79" t="s">
        <v>25</v>
      </c>
      <c r="B40" s="80" t="s">
        <v>109</v>
      </c>
      <c r="C40" s="81">
        <v>8</v>
      </c>
      <c r="D40" s="82">
        <f t="shared" si="3"/>
        <v>9</v>
      </c>
      <c r="E40" s="81">
        <f t="shared" si="3"/>
        <v>10</v>
      </c>
      <c r="F40" s="82">
        <f t="shared" si="3"/>
        <v>11</v>
      </c>
      <c r="G40" s="81">
        <f t="shared" si="3"/>
        <v>12</v>
      </c>
      <c r="H40" s="82">
        <f t="shared" si="3"/>
        <v>13</v>
      </c>
      <c r="I40" s="81">
        <f t="shared" si="3"/>
        <v>14</v>
      </c>
      <c r="J40" s="82">
        <f t="shared" si="3"/>
        <v>15</v>
      </c>
      <c r="K40" s="81">
        <f t="shared" si="3"/>
        <v>16</v>
      </c>
      <c r="L40" s="82">
        <f t="shared" si="3"/>
        <v>17</v>
      </c>
      <c r="M40" s="184" t="s">
        <v>28</v>
      </c>
      <c r="N40" s="184"/>
      <c r="O40" s="83"/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24" zoomScale="120" zoomScaleNormal="120" workbookViewId="0">
      <selection activeCell="J46" sqref="J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166</v>
      </c>
      <c r="C1" s="45"/>
      <c r="D1" s="46"/>
      <c r="E1" s="47"/>
      <c r="F1" s="48"/>
      <c r="G1" s="49" t="s">
        <v>180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167</v>
      </c>
      <c r="C2" s="35"/>
      <c r="D2" s="117"/>
      <c r="E2" s="36" t="s">
        <v>33</v>
      </c>
      <c r="F2" s="37"/>
      <c r="G2" s="37" t="s">
        <v>167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2</v>
      </c>
      <c r="C4" s="1"/>
      <c r="E4" s="121" t="s">
        <v>46</v>
      </c>
      <c r="F4" s="122">
        <v>22</v>
      </c>
      <c r="G4" s="123" t="s">
        <v>168</v>
      </c>
      <c r="H4" s="1"/>
      <c r="I4" s="1"/>
      <c r="J4" s="124"/>
      <c r="L4" s="125" t="s">
        <v>93</v>
      </c>
      <c r="M4" s="122">
        <v>0</v>
      </c>
      <c r="N4" s="1"/>
      <c r="O4" s="121" t="s">
        <v>9</v>
      </c>
      <c r="P4" s="88">
        <v>44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13</v>
      </c>
      <c r="B6" s="126" t="s">
        <v>2</v>
      </c>
      <c r="C6" s="177" t="s">
        <v>169</v>
      </c>
      <c r="D6" s="177"/>
      <c r="E6" s="177"/>
      <c r="F6" s="177"/>
      <c r="G6" s="177"/>
      <c r="H6" s="177"/>
      <c r="I6" s="177"/>
      <c r="J6" s="127">
        <v>1</v>
      </c>
      <c r="K6" s="127"/>
      <c r="M6" s="178" t="s">
        <v>51</v>
      </c>
      <c r="N6" s="178"/>
      <c r="O6" s="178"/>
      <c r="P6" s="61">
        <v>6</v>
      </c>
    </row>
    <row r="7" spans="1:16" ht="32.4" customHeight="1" x14ac:dyDescent="0.3">
      <c r="A7" s="60">
        <v>10</v>
      </c>
      <c r="B7" s="126" t="s">
        <v>3</v>
      </c>
      <c r="C7" s="177" t="s">
        <v>87</v>
      </c>
      <c r="D7" s="177"/>
      <c r="E7" s="177"/>
      <c r="F7" s="177"/>
      <c r="G7" s="177"/>
      <c r="H7" s="177"/>
      <c r="I7" s="177"/>
      <c r="J7" s="127">
        <v>0</v>
      </c>
      <c r="K7" s="127"/>
      <c r="M7" s="178" t="s">
        <v>11</v>
      </c>
      <c r="N7" s="178"/>
      <c r="O7" s="178"/>
      <c r="P7" s="61">
        <v>6</v>
      </c>
    </row>
    <row r="8" spans="1:16" ht="32.4" customHeight="1" x14ac:dyDescent="0.3">
      <c r="A8" s="60">
        <v>16</v>
      </c>
      <c r="B8" s="126" t="s">
        <v>4</v>
      </c>
      <c r="C8" s="177" t="s">
        <v>130</v>
      </c>
      <c r="D8" s="177"/>
      <c r="E8" s="177"/>
      <c r="F8" s="177"/>
      <c r="G8" s="177"/>
      <c r="H8" s="177"/>
      <c r="I8" s="177"/>
      <c r="J8" s="127">
        <v>2</v>
      </c>
      <c r="K8" s="127"/>
      <c r="M8" s="178" t="s">
        <v>14</v>
      </c>
      <c r="N8" s="178"/>
      <c r="O8" s="178"/>
      <c r="P8" s="61">
        <v>7</v>
      </c>
    </row>
    <row r="9" spans="1:16" ht="32.4" customHeight="1" x14ac:dyDescent="0.3">
      <c r="A9" s="60">
        <v>10</v>
      </c>
      <c r="B9" s="126" t="s">
        <v>5</v>
      </c>
      <c r="C9" s="177" t="s">
        <v>170</v>
      </c>
      <c r="D9" s="177"/>
      <c r="E9" s="177"/>
      <c r="F9" s="177"/>
      <c r="G9" s="177"/>
      <c r="H9" s="177"/>
      <c r="I9" s="177"/>
      <c r="J9" s="127">
        <v>0</v>
      </c>
      <c r="K9" s="127"/>
      <c r="M9" s="178" t="s">
        <v>12</v>
      </c>
      <c r="N9" s="178"/>
      <c r="O9" s="178"/>
      <c r="P9" s="61">
        <v>10</v>
      </c>
    </row>
    <row r="10" spans="1:16" ht="32.4" customHeight="1" x14ac:dyDescent="0.3">
      <c r="A10" s="60">
        <v>13</v>
      </c>
      <c r="B10" s="126" t="s">
        <v>6</v>
      </c>
      <c r="C10" s="177" t="s">
        <v>171</v>
      </c>
      <c r="D10" s="177"/>
      <c r="E10" s="177"/>
      <c r="F10" s="177"/>
      <c r="G10" s="177"/>
      <c r="H10" s="177"/>
      <c r="I10" s="177"/>
      <c r="J10" s="127">
        <v>1</v>
      </c>
      <c r="K10" s="127"/>
      <c r="M10" s="178" t="s">
        <v>13</v>
      </c>
      <c r="N10" s="178"/>
      <c r="O10" s="178"/>
      <c r="P10" s="61">
        <v>9</v>
      </c>
    </row>
    <row r="11" spans="1:16" ht="32.4" customHeight="1" x14ac:dyDescent="0.3">
      <c r="A11" s="60">
        <v>11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9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3" t="s">
        <v>57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v>60</v>
      </c>
      <c r="J15" s="134">
        <f>K15*1.5</f>
        <v>18</v>
      </c>
      <c r="K15" s="134">
        <f t="shared" ref="K15:K18" si="0">I15/5</f>
        <v>12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v>60</v>
      </c>
      <c r="J16" s="1">
        <f>K16*1.5</f>
        <v>18</v>
      </c>
      <c r="K16" s="1">
        <f t="shared" si="0"/>
        <v>12</v>
      </c>
      <c r="N16" s="3" t="s">
        <v>152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v>10</v>
      </c>
      <c r="J17" s="134">
        <f>K17*1.5</f>
        <v>3</v>
      </c>
      <c r="K17" s="134">
        <f t="shared" si="0"/>
        <v>2</v>
      </c>
      <c r="N17" s="3" t="s">
        <v>60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v>10</v>
      </c>
      <c r="J18" s="1">
        <f>K18*1.5</f>
        <v>3</v>
      </c>
      <c r="K18" s="1">
        <f t="shared" si="0"/>
        <v>2</v>
      </c>
      <c r="N18" s="3" t="s">
        <v>178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70</v>
      </c>
      <c r="J19" s="137" t="s">
        <v>69</v>
      </c>
      <c r="K19" s="137"/>
      <c r="N19" s="3" t="s">
        <v>179</v>
      </c>
      <c r="P19" s="57"/>
    </row>
    <row r="20" spans="1:16" s="3" customFormat="1" ht="15.6" customHeight="1" x14ac:dyDescent="0.3">
      <c r="A20" s="68" t="s">
        <v>241</v>
      </c>
      <c r="B20" s="42"/>
      <c r="N20" s="179" t="s">
        <v>120</v>
      </c>
      <c r="O20" s="179"/>
      <c r="P20" s="180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69"/>
      <c r="P21" s="69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11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G28" s="130"/>
      <c r="I28" s="130"/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86" t="s">
        <v>125</v>
      </c>
      <c r="B31" s="166"/>
      <c r="C31" s="166" t="s">
        <v>8</v>
      </c>
      <c r="E31" s="138"/>
      <c r="N31" s="29" t="s">
        <v>29</v>
      </c>
      <c r="O31" s="31"/>
      <c r="P31" s="59"/>
    </row>
    <row r="32" spans="1:16" ht="15.6" x14ac:dyDescent="0.3">
      <c r="A32" s="76" t="s">
        <v>124</v>
      </c>
      <c r="B32" s="5"/>
      <c r="C32" s="167">
        <v>2</v>
      </c>
      <c r="E32" s="138"/>
      <c r="N32" s="2" t="s">
        <v>54</v>
      </c>
      <c r="P32" s="62"/>
    </row>
    <row r="33" spans="1:27" x14ac:dyDescent="0.3">
      <c r="A33" s="76" t="s">
        <v>122</v>
      </c>
      <c r="B33" s="5"/>
      <c r="C33" s="5">
        <v>3</v>
      </c>
      <c r="E33" s="138"/>
      <c r="N33" s="2" t="s">
        <v>32</v>
      </c>
      <c r="P33" s="62"/>
    </row>
    <row r="34" spans="1:27" x14ac:dyDescent="0.3">
      <c r="A34" s="76" t="s">
        <v>149</v>
      </c>
      <c r="B34" s="5"/>
      <c r="C34" s="5">
        <v>3</v>
      </c>
      <c r="N34" s="2" t="s">
        <v>55</v>
      </c>
      <c r="P34" s="62"/>
    </row>
    <row r="35" spans="1:27" x14ac:dyDescent="0.3">
      <c r="A35" s="76" t="s">
        <v>24</v>
      </c>
      <c r="B35" s="5"/>
      <c r="C35" s="5">
        <v>3</v>
      </c>
      <c r="N35" s="2" t="s">
        <v>173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106</v>
      </c>
      <c r="B38" s="1" t="s">
        <v>226</v>
      </c>
      <c r="C38" s="146">
        <v>7</v>
      </c>
      <c r="D38" s="147">
        <f>C38+1</f>
        <v>8</v>
      </c>
      <c r="E38" s="146">
        <f t="shared" ref="E38:L38" si="2">D38+1</f>
        <v>9</v>
      </c>
      <c r="F38" s="147">
        <f t="shared" si="2"/>
        <v>10</v>
      </c>
      <c r="G38" s="146">
        <f t="shared" si="2"/>
        <v>11</v>
      </c>
      <c r="H38" s="147">
        <f t="shared" si="2"/>
        <v>12</v>
      </c>
      <c r="I38" s="146">
        <f t="shared" si="2"/>
        <v>13</v>
      </c>
      <c r="J38" s="147">
        <f t="shared" si="2"/>
        <v>14</v>
      </c>
      <c r="K38" s="146">
        <f t="shared" si="2"/>
        <v>15</v>
      </c>
      <c r="L38" s="147">
        <f t="shared" si="2"/>
        <v>16</v>
      </c>
      <c r="M38" s="182" t="s">
        <v>174</v>
      </c>
      <c r="N38" s="182"/>
      <c r="O38" s="2" t="s">
        <v>177</v>
      </c>
      <c r="P38" s="62"/>
    </row>
    <row r="39" spans="1:27" ht="18" x14ac:dyDescent="0.3">
      <c r="A39" s="77" t="s">
        <v>24</v>
      </c>
      <c r="B39" s="1" t="s">
        <v>23</v>
      </c>
      <c r="C39" s="146">
        <v>7</v>
      </c>
      <c r="D39" s="147">
        <f t="shared" ref="D39:L40" si="3">C39+1</f>
        <v>8</v>
      </c>
      <c r="E39" s="146">
        <f t="shared" si="3"/>
        <v>9</v>
      </c>
      <c r="F39" s="147">
        <f t="shared" si="3"/>
        <v>10</v>
      </c>
      <c r="G39" s="146">
        <f t="shared" si="3"/>
        <v>11</v>
      </c>
      <c r="H39" s="147">
        <f t="shared" si="3"/>
        <v>12</v>
      </c>
      <c r="I39" s="146">
        <f t="shared" si="3"/>
        <v>13</v>
      </c>
      <c r="J39" s="147">
        <f t="shared" si="3"/>
        <v>14</v>
      </c>
      <c r="K39" s="146">
        <f t="shared" si="3"/>
        <v>15</v>
      </c>
      <c r="L39" s="147">
        <f t="shared" si="3"/>
        <v>16</v>
      </c>
      <c r="M39" s="183" t="s">
        <v>176</v>
      </c>
      <c r="N39" s="183"/>
      <c r="O39" s="3" t="s">
        <v>118</v>
      </c>
      <c r="P39" s="62"/>
      <c r="AA39"/>
    </row>
    <row r="40" spans="1:27" ht="18.600000000000001" thickBot="1" x14ac:dyDescent="0.35">
      <c r="A40" s="79" t="s">
        <v>149</v>
      </c>
      <c r="B40" s="80" t="s">
        <v>175</v>
      </c>
      <c r="C40" s="81">
        <v>8</v>
      </c>
      <c r="D40" s="82">
        <f t="shared" si="3"/>
        <v>9</v>
      </c>
      <c r="E40" s="81">
        <f t="shared" si="3"/>
        <v>10</v>
      </c>
      <c r="F40" s="82">
        <f t="shared" si="3"/>
        <v>11</v>
      </c>
      <c r="G40" s="81">
        <f t="shared" si="3"/>
        <v>12</v>
      </c>
      <c r="H40" s="82">
        <f t="shared" si="3"/>
        <v>13</v>
      </c>
      <c r="I40" s="81">
        <f t="shared" si="3"/>
        <v>14</v>
      </c>
      <c r="J40" s="82">
        <f t="shared" si="3"/>
        <v>15</v>
      </c>
      <c r="K40" s="81">
        <f t="shared" si="3"/>
        <v>16</v>
      </c>
      <c r="L40" s="82">
        <f t="shared" si="3"/>
        <v>17</v>
      </c>
      <c r="M40" s="184" t="s">
        <v>28</v>
      </c>
      <c r="N40" s="184"/>
      <c r="O40" s="83" t="s">
        <v>119</v>
      </c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zoomScale="120" zoomScaleNormal="120" workbookViewId="0">
      <selection activeCell="L47" sqref="L47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146</v>
      </c>
      <c r="C1" s="45"/>
      <c r="D1" s="46"/>
      <c r="E1" s="47"/>
      <c r="F1" s="48"/>
      <c r="G1" s="49" t="s">
        <v>165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145</v>
      </c>
      <c r="H2" s="37"/>
      <c r="I2" s="38" t="s">
        <v>102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4</v>
      </c>
      <c r="C4" s="1"/>
      <c r="E4" s="121" t="s">
        <v>46</v>
      </c>
      <c r="F4" s="122">
        <v>20</v>
      </c>
      <c r="G4" s="123" t="s">
        <v>63</v>
      </c>
      <c r="H4" s="1"/>
      <c r="I4" s="1"/>
      <c r="J4" s="124"/>
      <c r="L4" s="125" t="s">
        <v>93</v>
      </c>
      <c r="M4" s="122">
        <v>2</v>
      </c>
      <c r="N4" s="1"/>
      <c r="O4" s="121" t="s">
        <v>9</v>
      </c>
      <c r="P4" s="88">
        <v>26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9</v>
      </c>
      <c r="B6" s="126" t="s">
        <v>2</v>
      </c>
      <c r="C6" s="177" t="s">
        <v>85</v>
      </c>
      <c r="D6" s="177"/>
      <c r="E6" s="177"/>
      <c r="F6" s="177"/>
      <c r="G6" s="177"/>
      <c r="H6" s="177"/>
      <c r="I6" s="177"/>
      <c r="J6" s="127">
        <v>0</v>
      </c>
      <c r="K6" s="127"/>
      <c r="M6" s="178" t="s">
        <v>51</v>
      </c>
      <c r="N6" s="178"/>
      <c r="O6" s="178"/>
      <c r="P6" s="61">
        <v>12</v>
      </c>
    </row>
    <row r="7" spans="1:16" ht="32.4" customHeight="1" x14ac:dyDescent="0.3">
      <c r="A7" s="60">
        <v>16</v>
      </c>
      <c r="B7" s="126" t="s">
        <v>3</v>
      </c>
      <c r="C7" s="177" t="s">
        <v>116</v>
      </c>
      <c r="D7" s="177"/>
      <c r="E7" s="177"/>
      <c r="F7" s="177"/>
      <c r="G7" s="177"/>
      <c r="H7" s="177"/>
      <c r="I7" s="177"/>
      <c r="J7" s="127">
        <v>2</v>
      </c>
      <c r="K7" s="127"/>
      <c r="M7" s="178" t="s">
        <v>11</v>
      </c>
      <c r="N7" s="178"/>
      <c r="O7" s="178"/>
      <c r="P7" s="61">
        <v>14</v>
      </c>
    </row>
    <row r="8" spans="1:16" ht="32.4" customHeight="1" x14ac:dyDescent="0.3">
      <c r="A8" s="60">
        <v>13</v>
      </c>
      <c r="B8" s="126" t="s">
        <v>4</v>
      </c>
      <c r="C8" s="177" t="s">
        <v>130</v>
      </c>
      <c r="D8" s="177"/>
      <c r="E8" s="177"/>
      <c r="F8" s="177"/>
      <c r="G8" s="177"/>
      <c r="H8" s="177"/>
      <c r="I8" s="177"/>
      <c r="J8" s="127">
        <v>1</v>
      </c>
      <c r="K8" s="127"/>
      <c r="M8" s="178" t="s">
        <v>14</v>
      </c>
      <c r="N8" s="178"/>
      <c r="O8" s="178"/>
      <c r="P8" s="61">
        <v>12</v>
      </c>
    </row>
    <row r="9" spans="1:16" ht="32.4" customHeight="1" x14ac:dyDescent="0.3">
      <c r="A9" s="60">
        <v>14</v>
      </c>
      <c r="B9" s="126" t="s">
        <v>5</v>
      </c>
      <c r="C9" s="177" t="s">
        <v>131</v>
      </c>
      <c r="D9" s="177"/>
      <c r="E9" s="177"/>
      <c r="F9" s="177"/>
      <c r="G9" s="177"/>
      <c r="H9" s="177"/>
      <c r="I9" s="177"/>
      <c r="J9" s="127">
        <v>1</v>
      </c>
      <c r="K9" s="127"/>
      <c r="M9" s="178" t="s">
        <v>12</v>
      </c>
      <c r="N9" s="178"/>
      <c r="O9" s="178"/>
      <c r="P9" s="61">
        <v>16</v>
      </c>
    </row>
    <row r="10" spans="1:16" ht="32.4" customHeight="1" x14ac:dyDescent="0.3">
      <c r="A10" s="60">
        <v>6</v>
      </c>
      <c r="B10" s="126" t="s">
        <v>6</v>
      </c>
      <c r="C10" s="177" t="s">
        <v>117</v>
      </c>
      <c r="D10" s="177"/>
      <c r="E10" s="177"/>
      <c r="F10" s="177"/>
      <c r="G10" s="177"/>
      <c r="H10" s="177"/>
      <c r="I10" s="177"/>
      <c r="J10" s="127">
        <v>-1</v>
      </c>
      <c r="K10" s="127"/>
      <c r="M10" s="178" t="s">
        <v>13</v>
      </c>
      <c r="N10" s="178"/>
      <c r="O10" s="178"/>
      <c r="P10" s="61">
        <v>14</v>
      </c>
    </row>
    <row r="11" spans="1:16" ht="32.4" customHeight="1" x14ac:dyDescent="0.3">
      <c r="A11" s="60">
        <v>10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40</v>
      </c>
      <c r="J14" s="1">
        <f>K14*1.5</f>
        <v>12</v>
      </c>
      <c r="K14" s="1">
        <f>I14/5</f>
        <v>8</v>
      </c>
      <c r="N14" s="3" t="s">
        <v>151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f>I14*3</f>
        <v>120</v>
      </c>
      <c r="J15" s="134">
        <f>K15*1.5</f>
        <v>36</v>
      </c>
      <c r="K15" s="134">
        <f t="shared" ref="K15:K18" si="0">I15/5</f>
        <v>24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f>I14*3</f>
        <v>120</v>
      </c>
      <c r="J16" s="1">
        <f>K16*1.5</f>
        <v>36</v>
      </c>
      <c r="K16" s="1">
        <f t="shared" si="0"/>
        <v>24</v>
      </c>
      <c r="N16" s="3" t="s">
        <v>152</v>
      </c>
      <c r="P16" s="57"/>
    </row>
    <row r="17" spans="1:21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20</v>
      </c>
      <c r="J17" s="134">
        <f>K17*1.5</f>
        <v>6</v>
      </c>
      <c r="K17" s="134">
        <f t="shared" si="0"/>
        <v>4</v>
      </c>
      <c r="N17" s="3" t="s">
        <v>60</v>
      </c>
      <c r="P17" s="57"/>
    </row>
    <row r="18" spans="1:21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20</v>
      </c>
      <c r="J18" s="1">
        <f>K18*1.5</f>
        <v>6</v>
      </c>
      <c r="K18" s="1">
        <f t="shared" si="0"/>
        <v>4</v>
      </c>
      <c r="N18" s="3" t="s">
        <v>153</v>
      </c>
      <c r="P18" s="57"/>
    </row>
    <row r="19" spans="1:21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134</v>
      </c>
      <c r="J19" s="137" t="s">
        <v>133</v>
      </c>
      <c r="K19" s="137"/>
      <c r="N19" s="3" t="s">
        <v>154</v>
      </c>
      <c r="P19" s="57"/>
    </row>
    <row r="20" spans="1:21" s="3" customFormat="1" ht="15.6" customHeight="1" x14ac:dyDescent="0.3">
      <c r="A20" s="68" t="s">
        <v>241</v>
      </c>
      <c r="B20" s="42"/>
      <c r="N20" s="179" t="s">
        <v>120</v>
      </c>
      <c r="O20" s="179"/>
      <c r="P20" s="180"/>
    </row>
    <row r="21" spans="1:21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69"/>
      <c r="P21" s="69"/>
    </row>
    <row r="22" spans="1:21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9</v>
      </c>
      <c r="U22" s="25"/>
    </row>
    <row r="23" spans="1:21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  <c r="U23" s="27"/>
    </row>
    <row r="24" spans="1:21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  <c r="T24" s="25"/>
      <c r="U24" s="25"/>
    </row>
    <row r="25" spans="1:21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  <c r="T25" s="25"/>
      <c r="U25" s="25"/>
    </row>
    <row r="26" spans="1:21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  <c r="T26" s="28"/>
      <c r="U26" s="28"/>
    </row>
    <row r="27" spans="1:21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  <c r="T27" s="28"/>
      <c r="U27" s="28"/>
    </row>
    <row r="28" spans="1:21" ht="15.6" customHeight="1" x14ac:dyDescent="0.3">
      <c r="A28" s="63"/>
      <c r="E28" s="138" t="str">
        <f>'Cleric A'!E28</f>
        <v>Tiro oltre 1* alleato: -2 TxC, 1 Colpito Alleato</v>
      </c>
      <c r="G28" s="130"/>
      <c r="I28" s="130"/>
      <c r="N28" s="141" t="s">
        <v>40</v>
      </c>
      <c r="O28" s="28"/>
      <c r="P28" s="74"/>
      <c r="T28" s="28"/>
      <c r="U28" s="28"/>
    </row>
    <row r="29" spans="1:21" ht="15.6" customHeight="1" x14ac:dyDescent="0.3">
      <c r="A29" s="56" t="s">
        <v>157</v>
      </c>
      <c r="C29" s="170">
        <v>0.45</v>
      </c>
      <c r="E29" s="138" t="str">
        <f>'Cleric A'!E29</f>
        <v>Distanza:   corta +1, lunga -1</v>
      </c>
      <c r="N29" s="144"/>
      <c r="O29" s="139" t="s">
        <v>46</v>
      </c>
      <c r="P29" s="71">
        <v>5</v>
      </c>
      <c r="T29" s="28"/>
      <c r="U29" s="28"/>
    </row>
    <row r="30" spans="1:21" x14ac:dyDescent="0.3">
      <c r="A30" s="56" t="s">
        <v>162</v>
      </c>
      <c r="C30" s="170">
        <v>0.4</v>
      </c>
      <c r="E30" s="138" t="str">
        <f>'Cleric A'!E30</f>
        <v>Copertura vs area: Parz. +2 TS, Quasi tot. +4 TS</v>
      </c>
      <c r="P30" s="62"/>
      <c r="T30" s="28"/>
      <c r="U30" s="28"/>
    </row>
    <row r="31" spans="1:21" ht="15.6" customHeight="1" x14ac:dyDescent="0.3">
      <c r="A31" s="76" t="s">
        <v>158</v>
      </c>
      <c r="B31" s="166"/>
      <c r="C31" s="170">
        <v>0.45</v>
      </c>
      <c r="E31" s="138"/>
      <c r="P31" s="62"/>
      <c r="T31" s="28"/>
      <c r="U31" s="28"/>
    </row>
    <row r="32" spans="1:21" x14ac:dyDescent="0.3">
      <c r="A32" s="76" t="s">
        <v>159</v>
      </c>
      <c r="B32" s="5"/>
      <c r="C32" s="170">
        <v>0.45</v>
      </c>
      <c r="E32" s="138"/>
      <c r="N32" s="29" t="s">
        <v>29</v>
      </c>
      <c r="O32" s="31"/>
      <c r="P32" s="59"/>
    </row>
    <row r="33" spans="1:27" x14ac:dyDescent="0.3">
      <c r="A33" s="76" t="s">
        <v>160</v>
      </c>
      <c r="B33" s="5"/>
      <c r="C33" s="170">
        <v>0.92</v>
      </c>
      <c r="E33" s="138"/>
      <c r="N33" s="2" t="s">
        <v>54</v>
      </c>
      <c r="P33" s="62"/>
    </row>
    <row r="34" spans="1:27" x14ac:dyDescent="0.3">
      <c r="A34" s="76" t="s">
        <v>161</v>
      </c>
      <c r="B34" s="5"/>
      <c r="C34" s="170">
        <v>0.36</v>
      </c>
      <c r="N34" s="2" t="s">
        <v>155</v>
      </c>
      <c r="P34" s="62"/>
    </row>
    <row r="35" spans="1:27" x14ac:dyDescent="0.3">
      <c r="A35" s="76" t="s">
        <v>163</v>
      </c>
      <c r="B35" s="5"/>
      <c r="C35" s="170">
        <v>0.8</v>
      </c>
      <c r="E35" s="171" t="s">
        <v>164</v>
      </c>
      <c r="N35" s="2" t="s">
        <v>156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148</v>
      </c>
      <c r="B38" s="1" t="s">
        <v>23</v>
      </c>
      <c r="C38" s="146">
        <v>8</v>
      </c>
      <c r="D38" s="147">
        <f>C38+1</f>
        <v>9</v>
      </c>
      <c r="E38" s="146">
        <f t="shared" ref="E38:L38" si="2">D38+1</f>
        <v>10</v>
      </c>
      <c r="F38" s="147">
        <f t="shared" si="2"/>
        <v>11</v>
      </c>
      <c r="G38" s="146">
        <f t="shared" si="2"/>
        <v>12</v>
      </c>
      <c r="H38" s="147">
        <f t="shared" si="2"/>
        <v>13</v>
      </c>
      <c r="I38" s="146">
        <f t="shared" si="2"/>
        <v>14</v>
      </c>
      <c r="J38" s="147">
        <f t="shared" si="2"/>
        <v>15</v>
      </c>
      <c r="K38" s="146">
        <f t="shared" si="2"/>
        <v>16</v>
      </c>
      <c r="L38" s="147">
        <f t="shared" si="2"/>
        <v>17</v>
      </c>
      <c r="M38" s="182" t="s">
        <v>82</v>
      </c>
      <c r="N38" s="182"/>
      <c r="P38" s="62"/>
    </row>
    <row r="39" spans="1:27" ht="18" x14ac:dyDescent="0.3">
      <c r="A39" s="77" t="s">
        <v>24</v>
      </c>
      <c r="B39" s="1" t="s">
        <v>23</v>
      </c>
      <c r="C39" s="146">
        <v>8</v>
      </c>
      <c r="D39" s="147">
        <f t="shared" ref="D39:L40" si="3">C39+1</f>
        <v>9</v>
      </c>
      <c r="E39" s="146">
        <f t="shared" si="3"/>
        <v>10</v>
      </c>
      <c r="F39" s="147">
        <f t="shared" si="3"/>
        <v>11</v>
      </c>
      <c r="G39" s="146">
        <f t="shared" si="3"/>
        <v>12</v>
      </c>
      <c r="H39" s="147">
        <f t="shared" si="3"/>
        <v>13</v>
      </c>
      <c r="I39" s="146">
        <f t="shared" si="3"/>
        <v>14</v>
      </c>
      <c r="J39" s="147">
        <f t="shared" si="3"/>
        <v>15</v>
      </c>
      <c r="K39" s="146">
        <f t="shared" si="3"/>
        <v>16</v>
      </c>
      <c r="L39" s="147">
        <f t="shared" si="3"/>
        <v>17</v>
      </c>
      <c r="M39" s="183" t="s">
        <v>84</v>
      </c>
      <c r="N39" s="183"/>
      <c r="O39" s="3" t="s">
        <v>118</v>
      </c>
      <c r="P39" s="62"/>
      <c r="AA39"/>
    </row>
    <row r="40" spans="1:27" ht="18.600000000000001" thickBot="1" x14ac:dyDescent="0.35">
      <c r="A40" s="79" t="s">
        <v>149</v>
      </c>
      <c r="B40" s="80" t="s">
        <v>150</v>
      </c>
      <c r="C40" s="81">
        <v>6</v>
      </c>
      <c r="D40" s="82">
        <f t="shared" si="3"/>
        <v>7</v>
      </c>
      <c r="E40" s="81">
        <f t="shared" si="3"/>
        <v>8</v>
      </c>
      <c r="F40" s="82">
        <f t="shared" si="3"/>
        <v>9</v>
      </c>
      <c r="G40" s="81">
        <f t="shared" si="3"/>
        <v>10</v>
      </c>
      <c r="H40" s="82">
        <f t="shared" si="3"/>
        <v>11</v>
      </c>
      <c r="I40" s="81">
        <f t="shared" si="3"/>
        <v>12</v>
      </c>
      <c r="J40" s="82">
        <f t="shared" si="3"/>
        <v>13</v>
      </c>
      <c r="K40" s="81">
        <f t="shared" si="3"/>
        <v>14</v>
      </c>
      <c r="L40" s="82">
        <f t="shared" si="3"/>
        <v>15</v>
      </c>
      <c r="M40" s="184" t="s">
        <v>28</v>
      </c>
      <c r="N40" s="184"/>
      <c r="O40" s="83" t="s">
        <v>119</v>
      </c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20" zoomScale="120" zoomScaleNormal="120" workbookViewId="0">
      <selection activeCell="H46" sqref="H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126</v>
      </c>
      <c r="C1" s="45"/>
      <c r="D1" s="46"/>
      <c r="E1" s="47"/>
      <c r="F1" s="48"/>
      <c r="G1" s="49" t="s">
        <v>144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127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9</v>
      </c>
      <c r="C4" s="1"/>
      <c r="E4" s="121" t="s">
        <v>46</v>
      </c>
      <c r="F4" s="122">
        <v>18</v>
      </c>
      <c r="G4" s="168" t="s">
        <v>264</v>
      </c>
      <c r="H4" s="1"/>
      <c r="I4" s="1"/>
      <c r="J4" s="124"/>
      <c r="L4" s="125" t="s">
        <v>93</v>
      </c>
      <c r="M4" s="122">
        <v>0</v>
      </c>
      <c r="N4" s="1"/>
      <c r="O4" s="121" t="s">
        <v>9</v>
      </c>
      <c r="P4" s="88">
        <v>21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8</v>
      </c>
      <c r="B6" s="126" t="s">
        <v>2</v>
      </c>
      <c r="C6" s="177" t="s">
        <v>129</v>
      </c>
      <c r="D6" s="177"/>
      <c r="E6" s="177"/>
      <c r="F6" s="177"/>
      <c r="G6" s="177"/>
      <c r="H6" s="177"/>
      <c r="I6" s="177"/>
      <c r="J6" s="127">
        <v>-1</v>
      </c>
      <c r="K6" s="127"/>
      <c r="M6" s="178" t="s">
        <v>51</v>
      </c>
      <c r="N6" s="178"/>
      <c r="O6" s="178"/>
      <c r="P6" s="61">
        <v>13</v>
      </c>
    </row>
    <row r="7" spans="1:16" ht="32.4" customHeight="1" x14ac:dyDescent="0.3">
      <c r="A7" s="60">
        <v>10</v>
      </c>
      <c r="B7" s="126" t="s">
        <v>3</v>
      </c>
      <c r="C7" s="177" t="s">
        <v>87</v>
      </c>
      <c r="D7" s="177"/>
      <c r="E7" s="177"/>
      <c r="F7" s="177"/>
      <c r="G7" s="177"/>
      <c r="H7" s="177"/>
      <c r="I7" s="177"/>
      <c r="J7" s="127">
        <v>0</v>
      </c>
      <c r="K7" s="127"/>
      <c r="M7" s="178" t="s">
        <v>11</v>
      </c>
      <c r="N7" s="178"/>
      <c r="O7" s="178"/>
      <c r="P7" s="61">
        <v>14</v>
      </c>
    </row>
    <row r="8" spans="1:16" ht="32.4" customHeight="1" x14ac:dyDescent="0.3">
      <c r="A8" s="60">
        <v>13</v>
      </c>
      <c r="B8" s="126" t="s">
        <v>4</v>
      </c>
      <c r="C8" s="177" t="s">
        <v>130</v>
      </c>
      <c r="D8" s="177"/>
      <c r="E8" s="177"/>
      <c r="F8" s="177"/>
      <c r="G8" s="177"/>
      <c r="H8" s="177"/>
      <c r="I8" s="177"/>
      <c r="J8" s="127">
        <v>1</v>
      </c>
      <c r="K8" s="127"/>
      <c r="M8" s="178" t="s">
        <v>14</v>
      </c>
      <c r="N8" s="178"/>
      <c r="O8" s="178"/>
      <c r="P8" s="61">
        <v>13</v>
      </c>
    </row>
    <row r="9" spans="1:16" ht="32.4" customHeight="1" x14ac:dyDescent="0.3">
      <c r="A9" s="60">
        <v>16</v>
      </c>
      <c r="B9" s="126" t="s">
        <v>5</v>
      </c>
      <c r="C9" s="177" t="s">
        <v>131</v>
      </c>
      <c r="D9" s="177"/>
      <c r="E9" s="177"/>
      <c r="F9" s="177"/>
      <c r="G9" s="177"/>
      <c r="H9" s="177"/>
      <c r="I9" s="177"/>
      <c r="J9" s="127">
        <v>2</v>
      </c>
      <c r="K9" s="127"/>
      <c r="M9" s="178" t="s">
        <v>12</v>
      </c>
      <c r="N9" s="178"/>
      <c r="O9" s="178"/>
      <c r="P9" s="61">
        <v>16</v>
      </c>
    </row>
    <row r="10" spans="1:16" ht="32.4" customHeight="1" x14ac:dyDescent="0.3">
      <c r="A10" s="60">
        <v>9</v>
      </c>
      <c r="B10" s="126" t="s">
        <v>6</v>
      </c>
      <c r="C10" s="177" t="s">
        <v>87</v>
      </c>
      <c r="D10" s="177"/>
      <c r="E10" s="177"/>
      <c r="F10" s="177"/>
      <c r="G10" s="177"/>
      <c r="H10" s="177"/>
      <c r="I10" s="177"/>
      <c r="J10" s="127">
        <v>0</v>
      </c>
      <c r="K10" s="127"/>
      <c r="M10" s="178" t="s">
        <v>13</v>
      </c>
      <c r="N10" s="178"/>
      <c r="O10" s="178"/>
      <c r="P10" s="61">
        <v>15</v>
      </c>
    </row>
    <row r="11" spans="1:16" ht="32.4" customHeight="1" x14ac:dyDescent="0.3">
      <c r="A11" s="60">
        <v>8</v>
      </c>
      <c r="B11" s="126" t="s">
        <v>7</v>
      </c>
      <c r="C11" s="177" t="s">
        <v>132</v>
      </c>
      <c r="D11" s="177"/>
      <c r="E11" s="177"/>
      <c r="F11" s="177"/>
      <c r="G11" s="177"/>
      <c r="H11" s="177"/>
      <c r="I11" s="177"/>
      <c r="J11" s="127">
        <v>-1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40</v>
      </c>
      <c r="J14" s="1">
        <f>K14*1.5</f>
        <v>12</v>
      </c>
      <c r="K14" s="1">
        <f>I14/5</f>
        <v>8</v>
      </c>
      <c r="N14" s="3" t="s">
        <v>135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f>I14*3</f>
        <v>120</v>
      </c>
      <c r="J15" s="134">
        <f>K15*1.5</f>
        <v>36</v>
      </c>
      <c r="K15" s="134">
        <f t="shared" ref="K15:K18" si="0">I15/5</f>
        <v>24</v>
      </c>
      <c r="N15" s="3" t="s">
        <v>136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f>I14*3</f>
        <v>120</v>
      </c>
      <c r="J16" s="1">
        <f>K16*1.5</f>
        <v>36</v>
      </c>
      <c r="K16" s="1">
        <f t="shared" si="0"/>
        <v>24</v>
      </c>
      <c r="N16" s="3" t="s">
        <v>60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20</v>
      </c>
      <c r="J17" s="134">
        <f>K17*1.5</f>
        <v>6</v>
      </c>
      <c r="K17" s="134">
        <f t="shared" si="0"/>
        <v>4</v>
      </c>
      <c r="N17" s="3" t="s">
        <v>137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20</v>
      </c>
      <c r="J18" s="1">
        <f>K18*1.5</f>
        <v>6</v>
      </c>
      <c r="K18" s="1">
        <f t="shared" si="0"/>
        <v>4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134</v>
      </c>
      <c r="J19" s="137" t="s">
        <v>133</v>
      </c>
      <c r="K19" s="137"/>
      <c r="P19" s="57"/>
    </row>
    <row r="20" spans="1:16" s="3" customFormat="1" ht="15.6" customHeight="1" x14ac:dyDescent="0.3">
      <c r="A20" s="68" t="s">
        <v>241</v>
      </c>
      <c r="B20" s="42"/>
      <c r="N20" s="179"/>
      <c r="O20" s="179"/>
      <c r="P20" s="180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69"/>
      <c r="P21" s="69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4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75"/>
      <c r="B30" s="2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63"/>
      <c r="P31" s="62"/>
    </row>
    <row r="32" spans="1:16" ht="15.6" x14ac:dyDescent="0.3">
      <c r="A32" s="64" t="s">
        <v>41</v>
      </c>
      <c r="B32" s="29"/>
      <c r="C32" s="34" t="s">
        <v>97</v>
      </c>
      <c r="D32" s="31"/>
      <c r="E32" s="34" t="s">
        <v>98</v>
      </c>
      <c r="F32" s="31"/>
      <c r="G32" s="34" t="s">
        <v>99</v>
      </c>
      <c r="H32" s="31"/>
      <c r="I32" s="34"/>
      <c r="J32" s="31"/>
      <c r="K32" s="31"/>
      <c r="N32" s="29" t="s">
        <v>29</v>
      </c>
      <c r="O32" s="31"/>
      <c r="P32" s="59"/>
    </row>
    <row r="33" spans="1:27" x14ac:dyDescent="0.3">
      <c r="A33" s="85" t="s">
        <v>30</v>
      </c>
      <c r="B33" s="2" t="s">
        <v>142</v>
      </c>
      <c r="N33" s="2" t="s">
        <v>54</v>
      </c>
      <c r="P33" s="62"/>
    </row>
    <row r="34" spans="1:27" x14ac:dyDescent="0.3">
      <c r="A34" s="85" t="s">
        <v>31</v>
      </c>
      <c r="B34" s="2" t="s">
        <v>143</v>
      </c>
      <c r="N34" s="2" t="s">
        <v>32</v>
      </c>
      <c r="P34" s="62"/>
    </row>
    <row r="35" spans="1:27" x14ac:dyDescent="0.3">
      <c r="A35" s="85" t="s">
        <v>38</v>
      </c>
      <c r="B35" s="2" t="s">
        <v>141</v>
      </c>
      <c r="N35" s="2" t="s">
        <v>55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138</v>
      </c>
      <c r="B38" s="1" t="s">
        <v>23</v>
      </c>
      <c r="C38" s="146">
        <v>11</v>
      </c>
      <c r="D38" s="147">
        <f>C38+1</f>
        <v>12</v>
      </c>
      <c r="E38" s="146">
        <f t="shared" ref="E38:L38" si="2">D38+1</f>
        <v>13</v>
      </c>
      <c r="F38" s="147">
        <f t="shared" si="2"/>
        <v>14</v>
      </c>
      <c r="G38" s="146">
        <f t="shared" si="2"/>
        <v>15</v>
      </c>
      <c r="H38" s="147">
        <f t="shared" si="2"/>
        <v>16</v>
      </c>
      <c r="I38" s="146">
        <f t="shared" si="2"/>
        <v>17</v>
      </c>
      <c r="J38" s="147">
        <f t="shared" si="2"/>
        <v>18</v>
      </c>
      <c r="K38" s="146">
        <f t="shared" si="2"/>
        <v>19</v>
      </c>
      <c r="L38" s="147">
        <f t="shared" si="2"/>
        <v>20</v>
      </c>
      <c r="M38" s="182" t="s">
        <v>139</v>
      </c>
      <c r="N38" s="182"/>
      <c r="P38" s="62"/>
    </row>
    <row r="39" spans="1:27" ht="18" x14ac:dyDescent="0.3">
      <c r="A39" s="77" t="s">
        <v>24</v>
      </c>
      <c r="B39" s="1" t="s">
        <v>23</v>
      </c>
      <c r="C39" s="146">
        <v>11</v>
      </c>
      <c r="D39" s="147">
        <f t="shared" ref="D39:L40" si="3">C39+1</f>
        <v>12</v>
      </c>
      <c r="E39" s="146">
        <f t="shared" si="3"/>
        <v>13</v>
      </c>
      <c r="F39" s="147">
        <f t="shared" si="3"/>
        <v>14</v>
      </c>
      <c r="G39" s="146">
        <f t="shared" si="3"/>
        <v>15</v>
      </c>
      <c r="H39" s="147">
        <f t="shared" si="3"/>
        <v>16</v>
      </c>
      <c r="I39" s="146">
        <f t="shared" si="3"/>
        <v>17</v>
      </c>
      <c r="J39" s="147">
        <f t="shared" si="3"/>
        <v>18</v>
      </c>
      <c r="K39" s="146">
        <f t="shared" si="3"/>
        <v>19</v>
      </c>
      <c r="L39" s="147">
        <f t="shared" si="3"/>
        <v>20</v>
      </c>
      <c r="M39" s="183" t="s">
        <v>139</v>
      </c>
      <c r="N39" s="183"/>
      <c r="O39" s="3"/>
      <c r="P39" s="62"/>
      <c r="AA39"/>
    </row>
    <row r="40" spans="1:27" ht="18.600000000000001" thickBot="1" x14ac:dyDescent="0.35">
      <c r="A40" s="79" t="s">
        <v>24</v>
      </c>
      <c r="B40" s="80" t="s">
        <v>140</v>
      </c>
      <c r="C40" s="81">
        <v>10</v>
      </c>
      <c r="D40" s="82">
        <f t="shared" si="3"/>
        <v>11</v>
      </c>
      <c r="E40" s="81">
        <f t="shared" si="3"/>
        <v>12</v>
      </c>
      <c r="F40" s="82">
        <f t="shared" si="3"/>
        <v>13</v>
      </c>
      <c r="G40" s="81">
        <f t="shared" si="3"/>
        <v>14</v>
      </c>
      <c r="H40" s="82">
        <f t="shared" si="3"/>
        <v>15</v>
      </c>
      <c r="I40" s="81">
        <f t="shared" si="3"/>
        <v>16</v>
      </c>
      <c r="J40" s="82">
        <f t="shared" si="3"/>
        <v>17</v>
      </c>
      <c r="K40" s="81">
        <f t="shared" si="3"/>
        <v>18</v>
      </c>
      <c r="L40" s="82">
        <f t="shared" si="3"/>
        <v>19</v>
      </c>
      <c r="M40" s="184" t="s">
        <v>84</v>
      </c>
      <c r="N40" s="184"/>
      <c r="O40" s="83"/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abSelected="1" topLeftCell="A13" zoomScale="120" zoomScaleNormal="120" workbookViewId="0">
      <selection activeCell="G43" sqref="G43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104</v>
      </c>
      <c r="C1" s="45"/>
      <c r="D1" s="46"/>
      <c r="E1" s="47"/>
      <c r="F1" s="48"/>
      <c r="G1" s="49" t="s">
        <v>121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105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0</v>
      </c>
      <c r="C4" s="1"/>
      <c r="E4" s="164" t="s">
        <v>46</v>
      </c>
      <c r="F4" s="122">
        <v>24</v>
      </c>
      <c r="G4" s="123" t="s">
        <v>110</v>
      </c>
      <c r="H4" s="1"/>
      <c r="I4" s="1"/>
      <c r="J4" s="124"/>
      <c r="K4" s="1"/>
      <c r="L4" s="125" t="s">
        <v>93</v>
      </c>
      <c r="M4" s="122">
        <v>1</v>
      </c>
      <c r="N4" s="1"/>
      <c r="O4" s="121" t="s">
        <v>9</v>
      </c>
      <c r="P4" s="88">
        <v>35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17</v>
      </c>
      <c r="B6" s="126" t="s">
        <v>2</v>
      </c>
      <c r="C6" s="177" t="s">
        <v>115</v>
      </c>
      <c r="D6" s="177"/>
      <c r="E6" s="177"/>
      <c r="F6" s="177"/>
      <c r="G6" s="177"/>
      <c r="H6" s="177"/>
      <c r="I6" s="177"/>
      <c r="J6" s="127">
        <v>2</v>
      </c>
      <c r="K6" s="127"/>
      <c r="M6" s="178" t="s">
        <v>51</v>
      </c>
      <c r="N6" s="178"/>
      <c r="O6" s="178"/>
      <c r="P6" s="61">
        <v>10</v>
      </c>
    </row>
    <row r="7" spans="1:16" ht="32.4" customHeight="1" x14ac:dyDescent="0.3">
      <c r="A7" s="60">
        <v>14</v>
      </c>
      <c r="B7" s="126" t="s">
        <v>3</v>
      </c>
      <c r="C7" s="177" t="s">
        <v>116</v>
      </c>
      <c r="D7" s="177"/>
      <c r="E7" s="177"/>
      <c r="F7" s="177"/>
      <c r="G7" s="177"/>
      <c r="H7" s="177"/>
      <c r="I7" s="177"/>
      <c r="J7" s="127">
        <v>1</v>
      </c>
      <c r="K7" s="127"/>
      <c r="M7" s="178" t="s">
        <v>11</v>
      </c>
      <c r="N7" s="178"/>
      <c r="O7" s="178"/>
      <c r="P7" s="61">
        <v>13</v>
      </c>
    </row>
    <row r="8" spans="1:16" ht="32.4" customHeight="1" x14ac:dyDescent="0.3">
      <c r="A8" s="60">
        <v>11</v>
      </c>
      <c r="B8" s="126" t="s">
        <v>4</v>
      </c>
      <c r="C8" s="177" t="s">
        <v>87</v>
      </c>
      <c r="D8" s="177"/>
      <c r="E8" s="177"/>
      <c r="F8" s="177"/>
      <c r="G8" s="177"/>
      <c r="H8" s="177"/>
      <c r="I8" s="177"/>
      <c r="J8" s="127">
        <v>0</v>
      </c>
      <c r="K8" s="127"/>
      <c r="M8" s="178" t="s">
        <v>14</v>
      </c>
      <c r="N8" s="178"/>
      <c r="O8" s="178"/>
      <c r="P8" s="61">
        <v>14</v>
      </c>
    </row>
    <row r="9" spans="1:16" ht="32.4" customHeight="1" x14ac:dyDescent="0.3">
      <c r="A9" s="60">
        <v>7</v>
      </c>
      <c r="B9" s="126" t="s">
        <v>5</v>
      </c>
      <c r="C9" s="177" t="s">
        <v>88</v>
      </c>
      <c r="D9" s="177"/>
      <c r="E9" s="177"/>
      <c r="F9" s="177"/>
      <c r="G9" s="177"/>
      <c r="H9" s="177"/>
      <c r="I9" s="177"/>
      <c r="J9" s="127">
        <v>-1</v>
      </c>
      <c r="K9" s="127"/>
      <c r="M9" s="178" t="s">
        <v>12</v>
      </c>
      <c r="N9" s="178"/>
      <c r="O9" s="178"/>
      <c r="P9" s="61">
        <v>13</v>
      </c>
    </row>
    <row r="10" spans="1:16" ht="32.4" customHeight="1" x14ac:dyDescent="0.3">
      <c r="A10" s="60">
        <v>4</v>
      </c>
      <c r="B10" s="126" t="s">
        <v>6</v>
      </c>
      <c r="C10" s="177" t="s">
        <v>117</v>
      </c>
      <c r="D10" s="177"/>
      <c r="E10" s="177"/>
      <c r="F10" s="177"/>
      <c r="G10" s="177"/>
      <c r="H10" s="177"/>
      <c r="I10" s="177"/>
      <c r="J10" s="127">
        <v>-2</v>
      </c>
      <c r="K10" s="127"/>
      <c r="M10" s="178" t="s">
        <v>13</v>
      </c>
      <c r="N10" s="178"/>
      <c r="O10" s="178"/>
      <c r="P10" s="61">
        <v>16</v>
      </c>
    </row>
    <row r="11" spans="1:16" ht="32.4" customHeight="1" x14ac:dyDescent="0.3">
      <c r="A11" s="60">
        <v>10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3" t="s">
        <v>57</v>
      </c>
      <c r="P14" s="57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v>60</v>
      </c>
      <c r="J15" s="134">
        <f>K15*1.5</f>
        <v>18</v>
      </c>
      <c r="K15" s="134">
        <f t="shared" ref="K15:K18" si="0">I15/5</f>
        <v>12</v>
      </c>
      <c r="N15" s="3" t="s">
        <v>112</v>
      </c>
      <c r="P15" s="57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v>60</v>
      </c>
      <c r="J16" s="1">
        <f>K16*1.5</f>
        <v>18</v>
      </c>
      <c r="K16" s="1">
        <f t="shared" si="0"/>
        <v>12</v>
      </c>
      <c r="N16" s="3" t="s">
        <v>113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v>10</v>
      </c>
      <c r="J17" s="134">
        <f>K17*1.5</f>
        <v>3</v>
      </c>
      <c r="K17" s="134">
        <f t="shared" si="0"/>
        <v>2</v>
      </c>
      <c r="N17" s="3" t="s">
        <v>60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v>10</v>
      </c>
      <c r="J18" s="1">
        <f>K18*1.5</f>
        <v>3</v>
      </c>
      <c r="K18" s="1">
        <f t="shared" si="0"/>
        <v>2</v>
      </c>
      <c r="N18" s="3" t="s">
        <v>114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70</v>
      </c>
      <c r="J19" s="137" t="s">
        <v>69</v>
      </c>
      <c r="K19" s="137"/>
      <c r="N19" s="3" t="s">
        <v>62</v>
      </c>
      <c r="P19" s="57"/>
    </row>
    <row r="20" spans="1:16" s="3" customFormat="1" ht="15.6" customHeight="1" x14ac:dyDescent="0.3">
      <c r="A20" s="68" t="s">
        <v>241</v>
      </c>
      <c r="B20" s="42"/>
      <c r="E20" s="138"/>
      <c r="N20" s="179" t="s">
        <v>120</v>
      </c>
      <c r="O20" s="179"/>
      <c r="P20" s="180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39"/>
      <c r="P21" s="71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F22" s="3"/>
      <c r="N22" s="3"/>
      <c r="O22" s="139" t="s">
        <v>46</v>
      </c>
      <c r="P22" s="71">
        <v>12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65"/>
      <c r="P23" s="6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G28" s="130"/>
      <c r="I28" s="130"/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86" t="s">
        <v>125</v>
      </c>
      <c r="B31" s="166"/>
      <c r="C31" s="166" t="s">
        <v>8</v>
      </c>
      <c r="E31" s="138"/>
      <c r="P31" s="62"/>
    </row>
    <row r="32" spans="1:16" ht="15.6" x14ac:dyDescent="0.3">
      <c r="A32" s="76" t="s">
        <v>124</v>
      </c>
      <c r="B32" s="5"/>
      <c r="C32" s="167">
        <v>0</v>
      </c>
      <c r="E32" s="138"/>
      <c r="N32" s="29" t="s">
        <v>29</v>
      </c>
      <c r="O32" s="31"/>
      <c r="P32" s="59"/>
    </row>
    <row r="33" spans="1:27" x14ac:dyDescent="0.3">
      <c r="A33" s="76" t="s">
        <v>122</v>
      </c>
      <c r="B33" s="5"/>
      <c r="C33" s="5">
        <v>2</v>
      </c>
      <c r="E33" s="138"/>
      <c r="N33" s="2" t="s">
        <v>54</v>
      </c>
      <c r="P33" s="62"/>
    </row>
    <row r="34" spans="1:27" x14ac:dyDescent="0.3">
      <c r="A34" s="76" t="s">
        <v>123</v>
      </c>
      <c r="B34" s="5"/>
      <c r="C34" s="5">
        <v>2</v>
      </c>
      <c r="E34" s="138"/>
      <c r="N34" s="2" t="s">
        <v>32</v>
      </c>
      <c r="P34" s="62"/>
    </row>
    <row r="35" spans="1:27" x14ac:dyDescent="0.3">
      <c r="A35" s="76" t="s">
        <v>24</v>
      </c>
      <c r="B35" s="5"/>
      <c r="C35" s="5">
        <v>2</v>
      </c>
      <c r="E35" s="138"/>
      <c r="N35" s="2" t="s">
        <v>55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106</v>
      </c>
      <c r="B38" s="1" t="s">
        <v>226</v>
      </c>
      <c r="C38" s="146">
        <v>5</v>
      </c>
      <c r="D38" s="147">
        <f>C38+1</f>
        <v>6</v>
      </c>
      <c r="E38" s="146">
        <f t="shared" ref="E38:L38" si="2">D38+1</f>
        <v>7</v>
      </c>
      <c r="F38" s="147">
        <f t="shared" si="2"/>
        <v>8</v>
      </c>
      <c r="G38" s="146">
        <f t="shared" si="2"/>
        <v>9</v>
      </c>
      <c r="H38" s="147">
        <f t="shared" si="2"/>
        <v>10</v>
      </c>
      <c r="I38" s="146">
        <f t="shared" si="2"/>
        <v>11</v>
      </c>
      <c r="J38" s="147">
        <f t="shared" si="2"/>
        <v>12</v>
      </c>
      <c r="K38" s="146">
        <f t="shared" si="2"/>
        <v>13</v>
      </c>
      <c r="L38" s="147">
        <f t="shared" si="2"/>
        <v>14</v>
      </c>
      <c r="M38" s="182" t="s">
        <v>107</v>
      </c>
      <c r="N38" s="182"/>
      <c r="O38" s="2" t="s">
        <v>111</v>
      </c>
      <c r="P38" s="62"/>
    </row>
    <row r="39" spans="1:27" ht="18" x14ac:dyDescent="0.3">
      <c r="A39" s="77" t="s">
        <v>24</v>
      </c>
      <c r="B39" s="1" t="s">
        <v>23</v>
      </c>
      <c r="C39" s="146">
        <v>6</v>
      </c>
      <c r="D39" s="147">
        <f t="shared" ref="D39:L40" si="3">C39+1</f>
        <v>7</v>
      </c>
      <c r="E39" s="146">
        <f t="shared" si="3"/>
        <v>8</v>
      </c>
      <c r="F39" s="147">
        <f t="shared" si="3"/>
        <v>9</v>
      </c>
      <c r="G39" s="146">
        <f t="shared" si="3"/>
        <v>10</v>
      </c>
      <c r="H39" s="147">
        <f t="shared" si="3"/>
        <v>11</v>
      </c>
      <c r="I39" s="146">
        <f t="shared" si="3"/>
        <v>12</v>
      </c>
      <c r="J39" s="147">
        <f t="shared" si="3"/>
        <v>13</v>
      </c>
      <c r="K39" s="146">
        <f t="shared" si="3"/>
        <v>14</v>
      </c>
      <c r="L39" s="147">
        <f t="shared" si="3"/>
        <v>15</v>
      </c>
      <c r="M39" s="183" t="s">
        <v>108</v>
      </c>
      <c r="N39" s="183"/>
      <c r="O39" s="3" t="s">
        <v>118</v>
      </c>
      <c r="P39" s="62"/>
      <c r="AA39"/>
    </row>
    <row r="40" spans="1:27" ht="18.600000000000001" thickBot="1" x14ac:dyDescent="0.35">
      <c r="A40" s="79" t="s">
        <v>25</v>
      </c>
      <c r="B40" s="80" t="s">
        <v>109</v>
      </c>
      <c r="C40" s="81">
        <v>7</v>
      </c>
      <c r="D40" s="82">
        <f t="shared" si="3"/>
        <v>8</v>
      </c>
      <c r="E40" s="81">
        <f t="shared" si="3"/>
        <v>9</v>
      </c>
      <c r="F40" s="82">
        <f t="shared" si="3"/>
        <v>10</v>
      </c>
      <c r="G40" s="81">
        <f t="shared" si="3"/>
        <v>11</v>
      </c>
      <c r="H40" s="82">
        <f t="shared" si="3"/>
        <v>12</v>
      </c>
      <c r="I40" s="81">
        <f t="shared" si="3"/>
        <v>13</v>
      </c>
      <c r="J40" s="82">
        <f t="shared" si="3"/>
        <v>14</v>
      </c>
      <c r="K40" s="81">
        <f t="shared" si="3"/>
        <v>15</v>
      </c>
      <c r="L40" s="82">
        <f t="shared" si="3"/>
        <v>16</v>
      </c>
      <c r="M40" s="184" t="s">
        <v>28</v>
      </c>
      <c r="N40" s="184"/>
      <c r="O40" s="83" t="s">
        <v>119</v>
      </c>
      <c r="P40" s="84"/>
    </row>
  </sheetData>
  <mergeCells count="17">
    <mergeCell ref="M37:N37"/>
    <mergeCell ref="M38:N38"/>
    <mergeCell ref="M39:N39"/>
    <mergeCell ref="M40:N40"/>
    <mergeCell ref="N20:P20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11" zoomScale="120" zoomScaleNormal="120" workbookViewId="0">
      <selection activeCell="E28" sqref="E28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49</v>
      </c>
      <c r="C1" s="45"/>
      <c r="D1" s="46"/>
      <c r="E1" s="47"/>
      <c r="F1" s="48"/>
      <c r="G1" s="49" t="s">
        <v>103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101</v>
      </c>
      <c r="H2" s="37"/>
      <c r="I2" s="38" t="s">
        <v>102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2</v>
      </c>
      <c r="C4" s="1"/>
      <c r="E4" s="121" t="s">
        <v>46</v>
      </c>
      <c r="F4" s="122">
        <v>20</v>
      </c>
      <c r="G4" s="123" t="s">
        <v>63</v>
      </c>
      <c r="H4" s="1"/>
      <c r="I4" s="1"/>
      <c r="J4" s="124"/>
      <c r="L4" s="125" t="s">
        <v>93</v>
      </c>
      <c r="M4" s="122">
        <v>-1</v>
      </c>
      <c r="N4" s="1"/>
      <c r="O4" s="121" t="s">
        <v>9</v>
      </c>
      <c r="P4" s="88">
        <v>31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12</v>
      </c>
      <c r="B6" s="126" t="s">
        <v>2</v>
      </c>
      <c r="C6" s="177" t="s">
        <v>85</v>
      </c>
      <c r="D6" s="177"/>
      <c r="E6" s="177"/>
      <c r="F6" s="177"/>
      <c r="G6" s="177"/>
      <c r="H6" s="177"/>
      <c r="I6" s="177"/>
      <c r="J6" s="127">
        <v>0</v>
      </c>
      <c r="K6" s="127"/>
      <c r="M6" s="178" t="s">
        <v>51</v>
      </c>
      <c r="N6" s="178"/>
      <c r="O6" s="178"/>
      <c r="P6" s="61">
        <v>9</v>
      </c>
    </row>
    <row r="7" spans="1:16" ht="32.4" customHeight="1" x14ac:dyDescent="0.3">
      <c r="A7" s="60">
        <v>6</v>
      </c>
      <c r="B7" s="126" t="s">
        <v>3</v>
      </c>
      <c r="C7" s="177" t="s">
        <v>86</v>
      </c>
      <c r="D7" s="177"/>
      <c r="E7" s="177"/>
      <c r="F7" s="177"/>
      <c r="G7" s="177"/>
      <c r="H7" s="177"/>
      <c r="I7" s="177"/>
      <c r="J7" s="127">
        <v>-1</v>
      </c>
      <c r="K7" s="127"/>
      <c r="M7" s="178" t="s">
        <v>11</v>
      </c>
      <c r="N7" s="178"/>
      <c r="O7" s="178"/>
      <c r="P7" s="61">
        <v>9</v>
      </c>
    </row>
    <row r="8" spans="1:16" ht="32.4" customHeight="1" x14ac:dyDescent="0.3">
      <c r="A8" s="60">
        <v>12</v>
      </c>
      <c r="B8" s="126" t="s">
        <v>4</v>
      </c>
      <c r="C8" s="177" t="s">
        <v>87</v>
      </c>
      <c r="D8" s="177"/>
      <c r="E8" s="177"/>
      <c r="F8" s="177"/>
      <c r="G8" s="177"/>
      <c r="H8" s="177"/>
      <c r="I8" s="177"/>
      <c r="J8" s="127">
        <v>0</v>
      </c>
      <c r="K8" s="127"/>
      <c r="M8" s="178" t="s">
        <v>14</v>
      </c>
      <c r="N8" s="178"/>
      <c r="O8" s="178"/>
      <c r="P8" s="61">
        <v>11</v>
      </c>
    </row>
    <row r="9" spans="1:16" ht="32.4" customHeight="1" x14ac:dyDescent="0.3">
      <c r="A9" s="60">
        <v>7</v>
      </c>
      <c r="B9" s="126" t="s">
        <v>5</v>
      </c>
      <c r="C9" s="177" t="s">
        <v>88</v>
      </c>
      <c r="D9" s="177"/>
      <c r="E9" s="177"/>
      <c r="F9" s="177"/>
      <c r="G9" s="177"/>
      <c r="H9" s="177"/>
      <c r="I9" s="177"/>
      <c r="J9" s="127">
        <v>-1</v>
      </c>
      <c r="K9" s="127"/>
      <c r="M9" s="178" t="s">
        <v>12</v>
      </c>
      <c r="N9" s="178"/>
      <c r="O9" s="178"/>
      <c r="P9" s="61">
        <v>14</v>
      </c>
    </row>
    <row r="10" spans="1:16" ht="32.4" customHeight="1" x14ac:dyDescent="0.3">
      <c r="A10" s="60">
        <v>13</v>
      </c>
      <c r="B10" s="126" t="s">
        <v>6</v>
      </c>
      <c r="C10" s="177" t="s">
        <v>89</v>
      </c>
      <c r="D10" s="177"/>
      <c r="E10" s="177"/>
      <c r="F10" s="177"/>
      <c r="G10" s="177"/>
      <c r="H10" s="177"/>
      <c r="I10" s="177"/>
      <c r="J10" s="127">
        <v>1</v>
      </c>
      <c r="K10" s="127"/>
      <c r="M10" s="178" t="s">
        <v>13</v>
      </c>
      <c r="N10" s="178"/>
      <c r="O10" s="178"/>
      <c r="P10" s="61">
        <v>11</v>
      </c>
    </row>
    <row r="11" spans="1:16" ht="32.4" customHeight="1" x14ac:dyDescent="0.3">
      <c r="A11" s="60">
        <v>9</v>
      </c>
      <c r="B11" s="126" t="s">
        <v>7</v>
      </c>
      <c r="C11" s="177" t="s">
        <v>90</v>
      </c>
      <c r="D11" s="177"/>
      <c r="E11" s="177"/>
      <c r="F11" s="177"/>
      <c r="G11" s="177"/>
      <c r="H11" s="177"/>
      <c r="I11" s="177"/>
      <c r="J11" s="127">
        <v>0</v>
      </c>
      <c r="K11" s="127"/>
      <c r="M11" s="18"/>
      <c r="P11" s="116" t="s">
        <v>223</v>
      </c>
    </row>
    <row r="12" spans="1:16" ht="8.4" customHeight="1" x14ac:dyDescent="0.3">
      <c r="A12" s="63"/>
      <c r="P12" s="116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39" t="s">
        <v>56</v>
      </c>
      <c r="O13" s="40"/>
      <c r="P13" s="89"/>
    </row>
    <row r="14" spans="1:16" s="3" customFormat="1" ht="15.6" customHeight="1" x14ac:dyDescent="0.3">
      <c r="A14" s="173" t="s">
        <v>172</v>
      </c>
      <c r="B14" s="174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25" t="s">
        <v>57</v>
      </c>
      <c r="O14" s="25"/>
      <c r="P14" s="90"/>
    </row>
    <row r="15" spans="1:16" s="3" customFormat="1" ht="15.6" customHeight="1" x14ac:dyDescent="0.3">
      <c r="A15" s="175"/>
      <c r="B15" s="176"/>
      <c r="E15" s="131" t="s">
        <v>37</v>
      </c>
      <c r="F15" s="131"/>
      <c r="G15" s="132"/>
      <c r="H15" s="133" t="s">
        <v>72</v>
      </c>
      <c r="I15" s="134">
        <v>60</v>
      </c>
      <c r="J15" s="134">
        <f>K15*1.5</f>
        <v>18</v>
      </c>
      <c r="K15" s="134">
        <f t="shared" ref="K15:K18" si="0">I15/5</f>
        <v>12</v>
      </c>
      <c r="N15" s="25" t="s">
        <v>58</v>
      </c>
      <c r="O15" s="25"/>
      <c r="P15" s="90"/>
    </row>
    <row r="16" spans="1:16" s="3" customFormat="1" ht="15.6" customHeight="1" x14ac:dyDescent="0.3">
      <c r="A16" s="175"/>
      <c r="B16" s="176"/>
      <c r="E16" s="128" t="s">
        <v>18</v>
      </c>
      <c r="F16" s="128"/>
      <c r="H16" s="99" t="s">
        <v>71</v>
      </c>
      <c r="I16" s="130">
        <v>60</v>
      </c>
      <c r="J16" s="1">
        <f>K16*1.5</f>
        <v>18</v>
      </c>
      <c r="K16" s="1">
        <f t="shared" si="0"/>
        <v>12</v>
      </c>
      <c r="N16" s="25" t="s">
        <v>59</v>
      </c>
      <c r="O16" s="25"/>
      <c r="P16" s="90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v>10</v>
      </c>
      <c r="J17" s="134">
        <f>K17*1.5</f>
        <v>3</v>
      </c>
      <c r="K17" s="134">
        <f t="shared" si="0"/>
        <v>2</v>
      </c>
      <c r="N17" s="25" t="s">
        <v>60</v>
      </c>
      <c r="O17" s="25"/>
      <c r="P17" s="90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v>10</v>
      </c>
      <c r="J18" s="1">
        <f>K18*1.5</f>
        <v>3</v>
      </c>
      <c r="K18" s="1">
        <f t="shared" si="0"/>
        <v>2</v>
      </c>
      <c r="N18" s="25" t="s">
        <v>61</v>
      </c>
      <c r="O18" s="25"/>
      <c r="P18" s="90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147</v>
      </c>
      <c r="J19" s="137" t="s">
        <v>69</v>
      </c>
      <c r="K19" s="137"/>
      <c r="N19" s="25" t="s">
        <v>91</v>
      </c>
      <c r="O19" s="25"/>
      <c r="P19" s="90"/>
    </row>
    <row r="20" spans="1:16" s="3" customFormat="1" ht="15.6" customHeight="1" x14ac:dyDescent="0.3">
      <c r="A20" s="93" t="s">
        <v>241</v>
      </c>
      <c r="B20" s="92"/>
      <c r="N20" s="185" t="s">
        <v>62</v>
      </c>
      <c r="O20" s="185"/>
      <c r="P20" s="186"/>
    </row>
    <row r="21" spans="1:16" s="3" customFormat="1" ht="15.6" customHeight="1" x14ac:dyDescent="0.3">
      <c r="A21" s="94" t="s">
        <v>242</v>
      </c>
      <c r="B21" s="28"/>
      <c r="E21" s="138" t="s">
        <v>232</v>
      </c>
      <c r="N21" s="25"/>
      <c r="O21" s="25"/>
      <c r="P21" s="91"/>
    </row>
    <row r="22" spans="1:16" ht="15.6" customHeight="1" x14ac:dyDescent="0.3">
      <c r="A22" s="95" t="s">
        <v>243</v>
      </c>
      <c r="B22" s="43"/>
      <c r="E22" s="138" t="s">
        <v>234</v>
      </c>
      <c r="N22" s="139"/>
      <c r="O22" s="139" t="s">
        <v>46</v>
      </c>
      <c r="P22" s="71">
        <v>8</v>
      </c>
    </row>
    <row r="23" spans="1:16" ht="15.6" customHeight="1" x14ac:dyDescent="0.3">
      <c r="A23" s="94" t="s">
        <v>244</v>
      </c>
      <c r="B23" s="28"/>
      <c r="E23" s="138" t="s">
        <v>231</v>
      </c>
      <c r="M23" s="128"/>
      <c r="N23" s="140"/>
      <c r="O23" s="28"/>
      <c r="P23" s="72"/>
    </row>
    <row r="24" spans="1:16" ht="15.6" customHeight="1" x14ac:dyDescent="0.3">
      <c r="A24" s="95" t="s">
        <v>245</v>
      </c>
      <c r="B24" s="43"/>
      <c r="E24" s="138" t="s">
        <v>233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94" t="s">
        <v>246</v>
      </c>
      <c r="B25" s="28"/>
      <c r="E25" s="138" t="s">
        <v>235</v>
      </c>
      <c r="N25" s="141" t="s">
        <v>42</v>
      </c>
      <c r="O25" s="28"/>
      <c r="P25" s="74"/>
    </row>
    <row r="26" spans="1:16" ht="15.6" customHeight="1" x14ac:dyDescent="0.3">
      <c r="A26" s="95" t="s">
        <v>79</v>
      </c>
      <c r="B26" s="43"/>
      <c r="E26" s="142" t="s">
        <v>238</v>
      </c>
      <c r="N26" s="141" t="s">
        <v>39</v>
      </c>
      <c r="O26" s="28"/>
      <c r="P26" s="74">
        <v>500</v>
      </c>
    </row>
    <row r="27" spans="1:16" ht="15.6" customHeight="1" x14ac:dyDescent="0.3">
      <c r="A27" s="96" t="s">
        <v>247</v>
      </c>
      <c r="B27" s="23"/>
      <c r="E27" s="142" t="s">
        <v>352</v>
      </c>
      <c r="N27" s="141" t="s">
        <v>43</v>
      </c>
      <c r="O27" s="28"/>
      <c r="P27" s="74"/>
    </row>
    <row r="28" spans="1:16" ht="15.6" customHeight="1" x14ac:dyDescent="0.3">
      <c r="A28" s="63"/>
      <c r="E28" s="143" t="s">
        <v>239</v>
      </c>
      <c r="N28" s="141" t="s">
        <v>40</v>
      </c>
      <c r="O28" s="28"/>
      <c r="P28" s="74"/>
    </row>
    <row r="29" spans="1:16" ht="15.6" customHeight="1" x14ac:dyDescent="0.3">
      <c r="A29" s="75"/>
      <c r="B29" s="23"/>
      <c r="E29" s="143" t="s">
        <v>240</v>
      </c>
      <c r="N29" s="144"/>
      <c r="O29" s="139" t="s">
        <v>46</v>
      </c>
      <c r="P29" s="71">
        <v>5</v>
      </c>
    </row>
    <row r="30" spans="1:16" x14ac:dyDescent="0.3">
      <c r="A30" s="63"/>
      <c r="E30" s="143" t="s">
        <v>224</v>
      </c>
      <c r="P30" s="62"/>
    </row>
    <row r="31" spans="1:16" ht="15.6" customHeight="1" x14ac:dyDescent="0.3">
      <c r="A31" s="64" t="s">
        <v>41</v>
      </c>
      <c r="B31" s="29"/>
      <c r="C31" s="34" t="s">
        <v>97</v>
      </c>
      <c r="D31" s="31"/>
      <c r="E31" s="34" t="s">
        <v>98</v>
      </c>
      <c r="F31" s="31"/>
      <c r="G31" s="34" t="s">
        <v>99</v>
      </c>
      <c r="H31" s="31"/>
      <c r="I31" s="34" t="s">
        <v>100</v>
      </c>
      <c r="J31" s="31"/>
      <c r="K31" s="31"/>
      <c r="N31" s="29" t="s">
        <v>29</v>
      </c>
      <c r="O31" s="31"/>
      <c r="P31" s="59"/>
    </row>
    <row r="32" spans="1:16" x14ac:dyDescent="0.3">
      <c r="A32" s="85" t="s">
        <v>30</v>
      </c>
      <c r="B32" s="2" t="s">
        <v>76</v>
      </c>
      <c r="N32" s="2" t="s">
        <v>54</v>
      </c>
      <c r="P32" s="62"/>
    </row>
    <row r="33" spans="1:27" x14ac:dyDescent="0.3">
      <c r="A33" s="85" t="s">
        <v>31</v>
      </c>
      <c r="B33" s="2" t="s">
        <v>78</v>
      </c>
      <c r="N33" s="2" t="s">
        <v>32</v>
      </c>
      <c r="P33" s="62"/>
    </row>
    <row r="34" spans="1:27" x14ac:dyDescent="0.3">
      <c r="A34" s="85" t="s">
        <v>38</v>
      </c>
      <c r="B34" s="2" t="s">
        <v>77</v>
      </c>
      <c r="N34" s="2" t="s">
        <v>55</v>
      </c>
      <c r="P34" s="62"/>
    </row>
    <row r="35" spans="1:27" x14ac:dyDescent="0.3">
      <c r="A35" s="85" t="s">
        <v>64</v>
      </c>
      <c r="B35" s="2" t="s">
        <v>65</v>
      </c>
      <c r="N35" s="2" t="s">
        <v>74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1" t="s">
        <v>26</v>
      </c>
      <c r="N37" s="181"/>
      <c r="O37" s="29" t="s">
        <v>27</v>
      </c>
      <c r="P37" s="59"/>
    </row>
    <row r="38" spans="1:27" ht="18" x14ac:dyDescent="0.3">
      <c r="A38" s="77" t="s">
        <v>52</v>
      </c>
      <c r="B38" s="1" t="s">
        <v>23</v>
      </c>
      <c r="C38" s="146">
        <v>8</v>
      </c>
      <c r="D38" s="147">
        <f>C38+1</f>
        <v>9</v>
      </c>
      <c r="E38" s="146">
        <f t="shared" ref="E38:L38" si="2">D38+1</f>
        <v>10</v>
      </c>
      <c r="F38" s="147">
        <f t="shared" si="2"/>
        <v>11</v>
      </c>
      <c r="G38" s="146">
        <f t="shared" si="2"/>
        <v>12</v>
      </c>
      <c r="H38" s="147">
        <f t="shared" si="2"/>
        <v>13</v>
      </c>
      <c r="I38" s="146">
        <f t="shared" si="2"/>
        <v>14</v>
      </c>
      <c r="J38" s="147">
        <f t="shared" si="2"/>
        <v>15</v>
      </c>
      <c r="K38" s="146">
        <f t="shared" si="2"/>
        <v>16</v>
      </c>
      <c r="L38" s="147">
        <f t="shared" si="2"/>
        <v>17</v>
      </c>
      <c r="M38" s="182" t="s">
        <v>28</v>
      </c>
      <c r="N38" s="182"/>
      <c r="P38" s="62"/>
    </row>
    <row r="39" spans="1:27" ht="18" x14ac:dyDescent="0.3">
      <c r="A39" s="77" t="s">
        <v>53</v>
      </c>
      <c r="B39" s="1" t="s">
        <v>80</v>
      </c>
      <c r="C39" s="146">
        <v>8</v>
      </c>
      <c r="D39" s="147">
        <f t="shared" ref="D39:L39" si="3">C39+1</f>
        <v>9</v>
      </c>
      <c r="E39" s="146">
        <f t="shared" si="3"/>
        <v>10</v>
      </c>
      <c r="F39" s="147">
        <f t="shared" si="3"/>
        <v>11</v>
      </c>
      <c r="G39" s="146">
        <f t="shared" si="3"/>
        <v>12</v>
      </c>
      <c r="H39" s="147">
        <f t="shared" si="3"/>
        <v>13</v>
      </c>
      <c r="I39" s="146">
        <f t="shared" si="3"/>
        <v>14</v>
      </c>
      <c r="J39" s="147">
        <f t="shared" si="3"/>
        <v>15</v>
      </c>
      <c r="K39" s="146">
        <f t="shared" si="3"/>
        <v>16</v>
      </c>
      <c r="L39" s="147">
        <f t="shared" si="3"/>
        <v>17</v>
      </c>
      <c r="M39" s="183" t="s">
        <v>84</v>
      </c>
      <c r="N39" s="183"/>
      <c r="O39" s="3" t="s">
        <v>83</v>
      </c>
      <c r="P39" s="62"/>
      <c r="AA39"/>
    </row>
    <row r="40" spans="1:27" ht="18.600000000000001" thickBot="1" x14ac:dyDescent="0.35">
      <c r="A40" s="79" t="s">
        <v>79</v>
      </c>
      <c r="B40" s="80" t="s">
        <v>81</v>
      </c>
      <c r="C40" s="81">
        <v>9</v>
      </c>
      <c r="D40" s="82">
        <f t="shared" ref="D40:L40" si="4">C40+1</f>
        <v>10</v>
      </c>
      <c r="E40" s="81">
        <f t="shared" si="4"/>
        <v>11</v>
      </c>
      <c r="F40" s="82">
        <f t="shared" si="4"/>
        <v>12</v>
      </c>
      <c r="G40" s="81">
        <f t="shared" si="4"/>
        <v>13</v>
      </c>
      <c r="H40" s="82">
        <f t="shared" si="4"/>
        <v>14</v>
      </c>
      <c r="I40" s="81">
        <f t="shared" si="4"/>
        <v>15</v>
      </c>
      <c r="J40" s="82">
        <f t="shared" si="4"/>
        <v>16</v>
      </c>
      <c r="K40" s="81">
        <f t="shared" si="4"/>
        <v>17</v>
      </c>
      <c r="L40" s="82">
        <f t="shared" si="4"/>
        <v>18</v>
      </c>
      <c r="M40" s="184" t="s">
        <v>82</v>
      </c>
      <c r="N40" s="184"/>
      <c r="O40" s="148" t="s">
        <v>222</v>
      </c>
      <c r="P40" s="84"/>
    </row>
  </sheetData>
  <mergeCells count="17">
    <mergeCell ref="M39:N39"/>
    <mergeCell ref="C11:I11"/>
    <mergeCell ref="N20:P20"/>
    <mergeCell ref="M40:N40"/>
    <mergeCell ref="M37:N37"/>
    <mergeCell ref="M38:N3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zoomScale="136" zoomScaleNormal="136" workbookViewId="0">
      <selection activeCell="J46" sqref="J46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228</v>
      </c>
      <c r="B1" s="1"/>
      <c r="C1" s="21"/>
      <c r="E1" s="2" t="s">
        <v>227</v>
      </c>
      <c r="G1" s="21"/>
      <c r="I1" s="2" t="s">
        <v>230</v>
      </c>
      <c r="K1" s="21"/>
      <c r="M1" s="2" t="s">
        <v>229</v>
      </c>
      <c r="O1" s="22"/>
      <c r="P1" s="23"/>
      <c r="Q1" s="24"/>
    </row>
    <row r="2" spans="1:21" ht="17.399999999999999" customHeight="1" x14ac:dyDescent="0.3">
      <c r="A2" s="156" t="s">
        <v>45</v>
      </c>
      <c r="B2" s="149"/>
      <c r="C2" s="149"/>
      <c r="D2" s="149"/>
      <c r="E2" s="149"/>
      <c r="F2" s="149"/>
      <c r="G2" s="149"/>
      <c r="H2" s="97" t="s">
        <v>44</v>
      </c>
      <c r="I2" s="97" t="s">
        <v>46</v>
      </c>
      <c r="J2" s="187" t="s">
        <v>208</v>
      </c>
      <c r="K2" s="187"/>
      <c r="L2" s="187"/>
      <c r="M2" s="187"/>
      <c r="N2" s="187"/>
      <c r="O2" s="187"/>
      <c r="P2" s="188"/>
      <c r="Q2" s="187"/>
      <c r="R2" s="7"/>
      <c r="S2" s="7"/>
      <c r="T2" s="7"/>
      <c r="U2" s="7"/>
    </row>
    <row r="3" spans="1:21" ht="17.399999999999999" customHeight="1" x14ac:dyDescent="0.3">
      <c r="A3" s="129">
        <v>1</v>
      </c>
      <c r="B3" s="2"/>
      <c r="C3" s="2"/>
      <c r="D3" s="2"/>
      <c r="E3" s="1"/>
      <c r="F3" s="2"/>
      <c r="G3" s="2"/>
      <c r="H3" s="13"/>
      <c r="I3" s="14"/>
      <c r="J3" s="9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157">
        <f>A3+1</f>
        <v>2</v>
      </c>
      <c r="B4" s="150"/>
      <c r="C4" s="150"/>
      <c r="D4" s="150"/>
      <c r="E4" s="150"/>
      <c r="F4" s="150"/>
      <c r="G4" s="150"/>
      <c r="H4" s="15"/>
      <c r="I4" s="15"/>
      <c r="J4" s="10"/>
      <c r="K4" s="150"/>
      <c r="L4" s="150"/>
      <c r="M4" s="150"/>
      <c r="N4" s="150"/>
      <c r="O4" s="150"/>
      <c r="P4" s="150"/>
      <c r="Q4" s="150"/>
    </row>
    <row r="5" spans="1:21" ht="17.399999999999999" customHeight="1" x14ac:dyDescent="0.3">
      <c r="A5" s="129">
        <f>A4+1</f>
        <v>3</v>
      </c>
      <c r="B5" s="2"/>
      <c r="C5" s="2"/>
      <c r="D5" s="2"/>
      <c r="E5" s="1"/>
      <c r="F5" s="2"/>
      <c r="G5" s="2"/>
      <c r="H5" s="14"/>
      <c r="I5" s="14"/>
      <c r="J5" s="9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157">
        <f t="shared" ref="A6:A22" si="0">A5+1</f>
        <v>4</v>
      </c>
      <c r="B6" s="150"/>
      <c r="C6" s="150"/>
      <c r="D6" s="150"/>
      <c r="E6" s="150"/>
      <c r="F6" s="150"/>
      <c r="G6" s="150"/>
      <c r="H6" s="15"/>
      <c r="I6" s="15"/>
      <c r="J6" s="10"/>
      <c r="K6" s="150"/>
      <c r="L6" s="150"/>
      <c r="M6" s="150"/>
      <c r="N6" s="150"/>
      <c r="O6" s="150"/>
      <c r="P6" s="150"/>
      <c r="Q6" s="150"/>
    </row>
    <row r="7" spans="1:21" ht="17.399999999999999" customHeight="1" x14ac:dyDescent="0.3">
      <c r="A7" s="129">
        <f t="shared" si="0"/>
        <v>5</v>
      </c>
      <c r="B7" s="2"/>
      <c r="C7" s="2"/>
      <c r="D7" s="2"/>
      <c r="E7" s="1"/>
      <c r="F7" s="2"/>
      <c r="G7" s="2"/>
      <c r="H7" s="14"/>
      <c r="I7" s="14"/>
      <c r="J7" s="9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157">
        <f t="shared" si="0"/>
        <v>6</v>
      </c>
      <c r="B8" s="150"/>
      <c r="C8" s="150"/>
      <c r="D8" s="150"/>
      <c r="E8" s="150"/>
      <c r="F8" s="150"/>
      <c r="G8" s="150"/>
      <c r="H8" s="15"/>
      <c r="I8" s="15"/>
      <c r="J8" s="10"/>
      <c r="K8" s="150"/>
      <c r="L8" s="150"/>
      <c r="M8" s="150"/>
      <c r="N8" s="150"/>
      <c r="O8" s="150"/>
      <c r="P8" s="150"/>
      <c r="Q8" s="150"/>
    </row>
    <row r="9" spans="1:21" ht="17.399999999999999" customHeight="1" x14ac:dyDescent="0.3">
      <c r="A9" s="129">
        <f t="shared" si="0"/>
        <v>7</v>
      </c>
      <c r="B9" s="2"/>
      <c r="C9" s="2"/>
      <c r="D9" s="2"/>
      <c r="E9" s="1"/>
      <c r="F9" s="2"/>
      <c r="G9" s="2"/>
      <c r="H9" s="14"/>
      <c r="I9" s="14"/>
      <c r="J9" s="9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157">
        <f t="shared" si="0"/>
        <v>8</v>
      </c>
      <c r="B10" s="150"/>
      <c r="C10" s="150"/>
      <c r="D10" s="150"/>
      <c r="E10" s="150"/>
      <c r="F10" s="150"/>
      <c r="G10" s="150"/>
      <c r="H10" s="15"/>
      <c r="I10" s="15"/>
      <c r="J10" s="10"/>
      <c r="K10" s="150"/>
      <c r="L10" s="150"/>
      <c r="M10" s="150"/>
      <c r="N10" s="150"/>
      <c r="O10" s="150"/>
      <c r="P10" s="150"/>
      <c r="Q10" s="150"/>
    </row>
    <row r="11" spans="1:21" ht="17.399999999999999" customHeight="1" x14ac:dyDescent="0.3">
      <c r="A11" s="129">
        <f t="shared" si="0"/>
        <v>9</v>
      </c>
      <c r="B11" s="2"/>
      <c r="C11" s="2"/>
      <c r="D11" s="2"/>
      <c r="E11" s="1"/>
      <c r="F11" s="2"/>
      <c r="G11" s="2"/>
      <c r="H11" s="14"/>
      <c r="I11" s="14"/>
      <c r="J11" s="9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157">
        <f t="shared" si="0"/>
        <v>10</v>
      </c>
      <c r="B12" s="150"/>
      <c r="C12" s="150"/>
      <c r="D12" s="150"/>
      <c r="E12" s="150"/>
      <c r="F12" s="150"/>
      <c r="G12" s="150"/>
      <c r="H12" s="15"/>
      <c r="I12" s="15"/>
      <c r="J12" s="10"/>
      <c r="K12" s="150"/>
      <c r="L12" s="150"/>
      <c r="M12" s="150"/>
      <c r="N12" s="150"/>
      <c r="O12" s="150"/>
      <c r="P12" s="150"/>
      <c r="Q12" s="150"/>
    </row>
    <row r="13" spans="1:21" ht="17.399999999999999" customHeight="1" x14ac:dyDescent="0.3">
      <c r="A13" s="129">
        <f t="shared" si="0"/>
        <v>11</v>
      </c>
      <c r="B13" s="2"/>
      <c r="C13" s="2"/>
      <c r="D13" s="2"/>
      <c r="E13" s="1"/>
      <c r="F13" s="2"/>
      <c r="G13" s="2"/>
      <c r="H13" s="14"/>
      <c r="I13" s="14"/>
      <c r="J13" s="9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157">
        <f t="shared" si="0"/>
        <v>12</v>
      </c>
      <c r="B14" s="150"/>
      <c r="C14" s="150"/>
      <c r="D14" s="150"/>
      <c r="E14" s="150"/>
      <c r="F14" s="150"/>
      <c r="G14" s="150"/>
      <c r="H14" s="15"/>
      <c r="I14" s="15"/>
      <c r="J14" s="10"/>
      <c r="K14" s="150"/>
      <c r="L14" s="150"/>
      <c r="M14" s="150"/>
      <c r="N14" s="150"/>
      <c r="O14" s="150"/>
      <c r="P14" s="150"/>
      <c r="Q14" s="150"/>
    </row>
    <row r="15" spans="1:21" ht="17.399999999999999" customHeight="1" x14ac:dyDescent="0.3">
      <c r="A15" s="129">
        <f t="shared" si="0"/>
        <v>13</v>
      </c>
      <c r="B15" s="2"/>
      <c r="C15" s="2"/>
      <c r="D15" s="2"/>
      <c r="E15" s="1"/>
      <c r="F15" s="2"/>
      <c r="G15" s="2"/>
      <c r="H15" s="14"/>
      <c r="I15" s="14"/>
      <c r="J15" s="9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157">
        <f t="shared" si="0"/>
        <v>14</v>
      </c>
      <c r="B16" s="150"/>
      <c r="C16" s="150"/>
      <c r="D16" s="150"/>
      <c r="E16" s="150"/>
      <c r="F16" s="150"/>
      <c r="G16" s="150"/>
      <c r="H16" s="15"/>
      <c r="I16" s="15"/>
      <c r="J16" s="10"/>
      <c r="K16" s="150"/>
      <c r="L16" s="150"/>
      <c r="M16" s="150"/>
      <c r="N16" s="150"/>
      <c r="O16" s="150"/>
      <c r="P16" s="150"/>
      <c r="Q16" s="150"/>
    </row>
    <row r="17" spans="1:21" ht="17.399999999999999" customHeight="1" x14ac:dyDescent="0.3">
      <c r="A17" s="129">
        <f t="shared" si="0"/>
        <v>15</v>
      </c>
      <c r="B17" s="2"/>
      <c r="C17" s="2"/>
      <c r="D17" s="2"/>
      <c r="E17" s="1"/>
      <c r="F17" s="2"/>
      <c r="G17" s="2"/>
      <c r="H17" s="14"/>
      <c r="I17" s="14"/>
      <c r="J17" s="9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157">
        <f t="shared" si="0"/>
        <v>16</v>
      </c>
      <c r="B18" s="150"/>
      <c r="C18" s="150"/>
      <c r="D18" s="150"/>
      <c r="E18" s="150"/>
      <c r="F18" s="150"/>
      <c r="G18" s="150"/>
      <c r="H18" s="15"/>
      <c r="I18" s="15"/>
      <c r="J18" s="10"/>
      <c r="K18" s="150"/>
      <c r="L18" s="150"/>
      <c r="M18" s="150"/>
      <c r="N18" s="150"/>
      <c r="O18" s="150"/>
      <c r="P18" s="150"/>
      <c r="Q18" s="150"/>
    </row>
    <row r="19" spans="1:21" ht="17.399999999999999" customHeight="1" x14ac:dyDescent="0.3">
      <c r="A19" s="129">
        <f t="shared" si="0"/>
        <v>17</v>
      </c>
      <c r="B19" s="2"/>
      <c r="C19" s="2"/>
      <c r="D19" s="2"/>
      <c r="E19" s="1"/>
      <c r="F19" s="2"/>
      <c r="G19" s="2"/>
      <c r="H19" s="14"/>
      <c r="I19" s="14"/>
      <c r="J19" s="9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158">
        <f t="shared" si="0"/>
        <v>18</v>
      </c>
      <c r="B20" s="151"/>
      <c r="C20" s="150"/>
      <c r="D20" s="150"/>
      <c r="E20" s="150"/>
      <c r="F20" s="150"/>
      <c r="G20" s="150"/>
      <c r="H20" s="15"/>
      <c r="I20" s="15"/>
      <c r="J20" s="10"/>
      <c r="K20" s="150"/>
      <c r="L20" s="150"/>
      <c r="M20" s="150"/>
      <c r="N20" s="150"/>
      <c r="O20" s="150"/>
      <c r="P20" s="150"/>
      <c r="Q20" s="150"/>
    </row>
    <row r="21" spans="1:21" ht="17.399999999999999" customHeight="1" x14ac:dyDescent="0.3">
      <c r="A21" s="98">
        <f t="shared" si="0"/>
        <v>19</v>
      </c>
      <c r="B21" s="2"/>
      <c r="C21" s="2"/>
      <c r="D21" s="2"/>
      <c r="E21" s="1"/>
      <c r="F21" s="2"/>
      <c r="G21" s="2"/>
      <c r="H21" s="14"/>
      <c r="I21" s="14"/>
      <c r="J21" s="9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158">
        <f t="shared" si="0"/>
        <v>20</v>
      </c>
      <c r="B22" s="150"/>
      <c r="C22" s="11"/>
      <c r="D22" s="11"/>
      <c r="E22" s="11"/>
      <c r="F22" s="11"/>
      <c r="G22" s="11"/>
      <c r="H22" s="16"/>
      <c r="I22" s="16"/>
      <c r="J22" s="12"/>
      <c r="K22" s="11"/>
      <c r="L22" s="11"/>
      <c r="M22" s="11"/>
      <c r="N22" s="11"/>
      <c r="O22" s="11"/>
      <c r="P22" s="11"/>
      <c r="Q22" s="11"/>
    </row>
    <row r="23" spans="1:21" ht="14.4" customHeight="1" x14ac:dyDescent="0.3">
      <c r="A23" s="161"/>
      <c r="B23" s="162"/>
      <c r="P23" s="152"/>
      <c r="Q23" s="20" t="s">
        <v>225</v>
      </c>
    </row>
    <row r="24" spans="1:21" ht="17.399999999999999" customHeight="1" x14ac:dyDescent="0.3">
      <c r="A24" s="189" t="s">
        <v>206</v>
      </c>
      <c r="B24" s="190"/>
      <c r="C24" s="17" t="s">
        <v>8</v>
      </c>
      <c r="D24" s="17" t="s">
        <v>8</v>
      </c>
      <c r="E24" s="17" t="s">
        <v>8</v>
      </c>
      <c r="F24" s="17" t="s">
        <v>8</v>
      </c>
      <c r="G24" s="17" t="s">
        <v>8</v>
      </c>
      <c r="H24" s="17" t="s">
        <v>8</v>
      </c>
      <c r="I24" s="17" t="s">
        <v>8</v>
      </c>
      <c r="J24" s="17" t="s">
        <v>8</v>
      </c>
      <c r="K24" s="17" t="s">
        <v>8</v>
      </c>
      <c r="L24" s="17" t="s">
        <v>8</v>
      </c>
      <c r="M24" s="17" t="s">
        <v>8</v>
      </c>
      <c r="N24" s="17" t="s">
        <v>8</v>
      </c>
      <c r="O24" s="17" t="s">
        <v>8</v>
      </c>
      <c r="P24" s="17" t="s">
        <v>8</v>
      </c>
      <c r="Q24" s="155" t="s">
        <v>8</v>
      </c>
    </row>
    <row r="25" spans="1:21" ht="17.399999999999999" customHeight="1" x14ac:dyDescent="0.3">
      <c r="A25" s="159"/>
      <c r="B25" s="160"/>
      <c r="C25" s="8">
        <v>-3</v>
      </c>
      <c r="D25" s="8">
        <f t="shared" ref="D25:Q25" si="1">C25+1</f>
        <v>-2</v>
      </c>
      <c r="E25" s="8">
        <f t="shared" si="1"/>
        <v>-1</v>
      </c>
      <c r="F25" s="8">
        <f t="shared" si="1"/>
        <v>0</v>
      </c>
      <c r="G25" s="8">
        <f t="shared" si="1"/>
        <v>1</v>
      </c>
      <c r="H25" s="8">
        <f t="shared" si="1"/>
        <v>2</v>
      </c>
      <c r="I25" s="8">
        <f t="shared" si="1"/>
        <v>3</v>
      </c>
      <c r="J25" s="8">
        <f t="shared" si="1"/>
        <v>4</v>
      </c>
      <c r="K25" s="8">
        <f t="shared" si="1"/>
        <v>5</v>
      </c>
      <c r="L25" s="8">
        <f t="shared" si="1"/>
        <v>6</v>
      </c>
      <c r="M25" s="8">
        <f t="shared" si="1"/>
        <v>7</v>
      </c>
      <c r="N25" s="8">
        <f t="shared" si="1"/>
        <v>8</v>
      </c>
      <c r="O25" s="8">
        <f t="shared" si="1"/>
        <v>9</v>
      </c>
      <c r="P25" s="8">
        <f t="shared" si="1"/>
        <v>10</v>
      </c>
      <c r="Q25" s="8">
        <f t="shared" si="1"/>
        <v>11</v>
      </c>
      <c r="R25" s="1"/>
      <c r="S25" s="1"/>
      <c r="T25" s="1"/>
      <c r="U25" s="1"/>
    </row>
    <row r="26" spans="1:21" ht="14.4" customHeight="1" x14ac:dyDescent="0.3">
      <c r="A26" s="191">
        <v>19</v>
      </c>
      <c r="B26" s="192"/>
      <c r="C26" s="153">
        <f>$A26-C$25</f>
        <v>22</v>
      </c>
      <c r="D26" s="153">
        <f t="shared" ref="D26:Q26" si="2">$A26-D$25</f>
        <v>21</v>
      </c>
      <c r="E26" s="153">
        <f t="shared" si="2"/>
        <v>20</v>
      </c>
      <c r="F26" s="153">
        <f t="shared" si="2"/>
        <v>19</v>
      </c>
      <c r="G26" s="153">
        <f t="shared" si="2"/>
        <v>18</v>
      </c>
      <c r="H26" s="153">
        <f t="shared" si="2"/>
        <v>17</v>
      </c>
      <c r="I26" s="153">
        <f t="shared" si="2"/>
        <v>16</v>
      </c>
      <c r="J26" s="153">
        <f t="shared" si="2"/>
        <v>15</v>
      </c>
      <c r="K26" s="153">
        <f t="shared" si="2"/>
        <v>14</v>
      </c>
      <c r="L26" s="153">
        <f t="shared" si="2"/>
        <v>13</v>
      </c>
      <c r="M26" s="153">
        <f t="shared" si="2"/>
        <v>12</v>
      </c>
      <c r="N26" s="153">
        <f t="shared" si="2"/>
        <v>11</v>
      </c>
      <c r="O26" s="153">
        <f t="shared" si="2"/>
        <v>10</v>
      </c>
      <c r="P26" s="153">
        <f t="shared" si="2"/>
        <v>9</v>
      </c>
      <c r="Q26" s="153">
        <f t="shared" si="2"/>
        <v>8</v>
      </c>
    </row>
    <row r="27" spans="1:21" ht="14.4" customHeight="1" x14ac:dyDescent="0.3">
      <c r="A27" s="193">
        <v>18</v>
      </c>
      <c r="B27" s="194"/>
      <c r="C27" s="154">
        <f t="shared" ref="C27:Q34" si="3">$A27-C$25</f>
        <v>21</v>
      </c>
      <c r="D27" s="154">
        <f t="shared" si="3"/>
        <v>20</v>
      </c>
      <c r="E27" s="154">
        <f t="shared" si="3"/>
        <v>19</v>
      </c>
      <c r="F27" s="154">
        <f t="shared" si="3"/>
        <v>18</v>
      </c>
      <c r="G27" s="154">
        <f t="shared" si="3"/>
        <v>17</v>
      </c>
      <c r="H27" s="154">
        <f t="shared" si="3"/>
        <v>16</v>
      </c>
      <c r="I27" s="154">
        <f t="shared" si="3"/>
        <v>15</v>
      </c>
      <c r="J27" s="154">
        <f t="shared" si="3"/>
        <v>14</v>
      </c>
      <c r="K27" s="154">
        <f t="shared" si="3"/>
        <v>13</v>
      </c>
      <c r="L27" s="154">
        <f t="shared" si="3"/>
        <v>12</v>
      </c>
      <c r="M27" s="154">
        <f t="shared" si="3"/>
        <v>11</v>
      </c>
      <c r="N27" s="154">
        <f t="shared" si="3"/>
        <v>10</v>
      </c>
      <c r="O27" s="154">
        <f t="shared" si="3"/>
        <v>9</v>
      </c>
      <c r="P27" s="154">
        <f t="shared" si="3"/>
        <v>8</v>
      </c>
      <c r="Q27" s="154">
        <f t="shared" si="3"/>
        <v>7</v>
      </c>
    </row>
    <row r="28" spans="1:21" ht="14.4" customHeight="1" x14ac:dyDescent="0.3">
      <c r="A28" s="192">
        <v>17</v>
      </c>
      <c r="B28" s="192"/>
      <c r="C28" s="153">
        <f t="shared" si="3"/>
        <v>20</v>
      </c>
      <c r="D28" s="153">
        <f t="shared" si="3"/>
        <v>19</v>
      </c>
      <c r="E28" s="153">
        <f t="shared" si="3"/>
        <v>18</v>
      </c>
      <c r="F28" s="153">
        <f t="shared" si="3"/>
        <v>17</v>
      </c>
      <c r="G28" s="153">
        <f t="shared" si="3"/>
        <v>16</v>
      </c>
      <c r="H28" s="153">
        <f t="shared" si="3"/>
        <v>15</v>
      </c>
      <c r="I28" s="153">
        <f t="shared" si="3"/>
        <v>14</v>
      </c>
      <c r="J28" s="153">
        <f t="shared" si="3"/>
        <v>13</v>
      </c>
      <c r="K28" s="153">
        <f t="shared" si="3"/>
        <v>12</v>
      </c>
      <c r="L28" s="153">
        <f t="shared" si="3"/>
        <v>11</v>
      </c>
      <c r="M28" s="153">
        <f t="shared" si="3"/>
        <v>10</v>
      </c>
      <c r="N28" s="153">
        <f t="shared" si="3"/>
        <v>9</v>
      </c>
      <c r="O28" s="153">
        <f t="shared" si="3"/>
        <v>8</v>
      </c>
      <c r="P28" s="153">
        <f t="shared" si="3"/>
        <v>7</v>
      </c>
      <c r="Q28" s="153">
        <f t="shared" si="3"/>
        <v>6</v>
      </c>
    </row>
    <row r="29" spans="1:21" ht="14.4" customHeight="1" x14ac:dyDescent="0.3">
      <c r="A29" s="194">
        <v>16</v>
      </c>
      <c r="B29" s="194"/>
      <c r="C29" s="154">
        <f t="shared" si="3"/>
        <v>19</v>
      </c>
      <c r="D29" s="154">
        <f t="shared" si="3"/>
        <v>18</v>
      </c>
      <c r="E29" s="154">
        <f t="shared" si="3"/>
        <v>17</v>
      </c>
      <c r="F29" s="154">
        <f t="shared" si="3"/>
        <v>16</v>
      </c>
      <c r="G29" s="154">
        <f t="shared" si="3"/>
        <v>15</v>
      </c>
      <c r="H29" s="154">
        <f t="shared" si="3"/>
        <v>14</v>
      </c>
      <c r="I29" s="154">
        <f t="shared" si="3"/>
        <v>13</v>
      </c>
      <c r="J29" s="154">
        <f t="shared" si="3"/>
        <v>12</v>
      </c>
      <c r="K29" s="154">
        <f t="shared" si="3"/>
        <v>11</v>
      </c>
      <c r="L29" s="154">
        <f t="shared" si="3"/>
        <v>10</v>
      </c>
      <c r="M29" s="154">
        <f t="shared" si="3"/>
        <v>9</v>
      </c>
      <c r="N29" s="154">
        <f t="shared" si="3"/>
        <v>8</v>
      </c>
      <c r="O29" s="154">
        <f t="shared" si="3"/>
        <v>7</v>
      </c>
      <c r="P29" s="154">
        <f t="shared" si="3"/>
        <v>6</v>
      </c>
      <c r="Q29" s="154">
        <f t="shared" si="3"/>
        <v>5</v>
      </c>
    </row>
    <row r="30" spans="1:21" ht="14.4" customHeight="1" x14ac:dyDescent="0.3">
      <c r="A30" s="192">
        <v>15</v>
      </c>
      <c r="B30" s="192"/>
      <c r="C30" s="153">
        <f t="shared" si="3"/>
        <v>18</v>
      </c>
      <c r="D30" s="153">
        <f t="shared" si="3"/>
        <v>17</v>
      </c>
      <c r="E30" s="153">
        <f t="shared" si="3"/>
        <v>16</v>
      </c>
      <c r="F30" s="153">
        <f t="shared" si="3"/>
        <v>15</v>
      </c>
      <c r="G30" s="153">
        <f t="shared" si="3"/>
        <v>14</v>
      </c>
      <c r="H30" s="153">
        <f t="shared" si="3"/>
        <v>13</v>
      </c>
      <c r="I30" s="153">
        <f t="shared" si="3"/>
        <v>12</v>
      </c>
      <c r="J30" s="153">
        <f t="shared" si="3"/>
        <v>11</v>
      </c>
      <c r="K30" s="153">
        <f t="shared" si="3"/>
        <v>10</v>
      </c>
      <c r="L30" s="153">
        <f t="shared" si="3"/>
        <v>9</v>
      </c>
      <c r="M30" s="153">
        <f t="shared" si="3"/>
        <v>8</v>
      </c>
      <c r="N30" s="153">
        <f t="shared" si="3"/>
        <v>7</v>
      </c>
      <c r="O30" s="153">
        <f t="shared" si="3"/>
        <v>6</v>
      </c>
      <c r="P30" s="153">
        <f t="shared" si="3"/>
        <v>5</v>
      </c>
      <c r="Q30" s="153">
        <f t="shared" si="3"/>
        <v>4</v>
      </c>
    </row>
    <row r="31" spans="1:21" ht="14.4" customHeight="1" x14ac:dyDescent="0.3">
      <c r="A31" s="194">
        <v>14</v>
      </c>
      <c r="B31" s="194"/>
      <c r="C31" s="154">
        <f t="shared" si="3"/>
        <v>17</v>
      </c>
      <c r="D31" s="154">
        <f t="shared" si="3"/>
        <v>16</v>
      </c>
      <c r="E31" s="154">
        <f t="shared" si="3"/>
        <v>15</v>
      </c>
      <c r="F31" s="154">
        <f t="shared" si="3"/>
        <v>14</v>
      </c>
      <c r="G31" s="154">
        <f t="shared" si="3"/>
        <v>13</v>
      </c>
      <c r="H31" s="154">
        <f t="shared" si="3"/>
        <v>12</v>
      </c>
      <c r="I31" s="154">
        <f t="shared" si="3"/>
        <v>11</v>
      </c>
      <c r="J31" s="154">
        <f t="shared" si="3"/>
        <v>10</v>
      </c>
      <c r="K31" s="154">
        <f t="shared" si="3"/>
        <v>9</v>
      </c>
      <c r="L31" s="154">
        <f t="shared" si="3"/>
        <v>8</v>
      </c>
      <c r="M31" s="154">
        <f t="shared" si="3"/>
        <v>7</v>
      </c>
      <c r="N31" s="154">
        <f t="shared" si="3"/>
        <v>6</v>
      </c>
      <c r="O31" s="154">
        <f t="shared" si="3"/>
        <v>5</v>
      </c>
      <c r="P31" s="154">
        <f t="shared" si="3"/>
        <v>4</v>
      </c>
      <c r="Q31" s="154">
        <f t="shared" si="3"/>
        <v>3</v>
      </c>
    </row>
    <row r="32" spans="1:21" ht="14.4" customHeight="1" x14ac:dyDescent="0.3">
      <c r="A32" s="192">
        <v>13</v>
      </c>
      <c r="B32" s="192"/>
      <c r="C32" s="153">
        <f t="shared" si="3"/>
        <v>16</v>
      </c>
      <c r="D32" s="153">
        <f t="shared" si="3"/>
        <v>15</v>
      </c>
      <c r="E32" s="153">
        <f t="shared" si="3"/>
        <v>14</v>
      </c>
      <c r="F32" s="153">
        <f t="shared" si="3"/>
        <v>13</v>
      </c>
      <c r="G32" s="153">
        <f t="shared" si="3"/>
        <v>12</v>
      </c>
      <c r="H32" s="153">
        <f t="shared" si="3"/>
        <v>11</v>
      </c>
      <c r="I32" s="153">
        <f t="shared" si="3"/>
        <v>10</v>
      </c>
      <c r="J32" s="153">
        <f t="shared" si="3"/>
        <v>9</v>
      </c>
      <c r="K32" s="153">
        <f t="shared" si="3"/>
        <v>8</v>
      </c>
      <c r="L32" s="153">
        <f t="shared" si="3"/>
        <v>7</v>
      </c>
      <c r="M32" s="153">
        <f t="shared" si="3"/>
        <v>6</v>
      </c>
      <c r="N32" s="153">
        <f t="shared" si="3"/>
        <v>5</v>
      </c>
      <c r="O32" s="153">
        <f t="shared" si="3"/>
        <v>4</v>
      </c>
      <c r="P32" s="153">
        <f t="shared" si="3"/>
        <v>3</v>
      </c>
      <c r="Q32" s="153">
        <f t="shared" si="3"/>
        <v>2</v>
      </c>
    </row>
    <row r="33" spans="1:17" ht="14.4" customHeight="1" x14ac:dyDescent="0.3">
      <c r="A33" s="194">
        <v>12</v>
      </c>
      <c r="B33" s="194"/>
      <c r="C33" s="154">
        <f t="shared" si="3"/>
        <v>15</v>
      </c>
      <c r="D33" s="154">
        <f t="shared" si="3"/>
        <v>14</v>
      </c>
      <c r="E33" s="154">
        <f t="shared" si="3"/>
        <v>13</v>
      </c>
      <c r="F33" s="154">
        <f t="shared" si="3"/>
        <v>12</v>
      </c>
      <c r="G33" s="154">
        <f t="shared" si="3"/>
        <v>11</v>
      </c>
      <c r="H33" s="154">
        <f t="shared" si="3"/>
        <v>10</v>
      </c>
      <c r="I33" s="154">
        <f t="shared" si="3"/>
        <v>9</v>
      </c>
      <c r="J33" s="154">
        <f t="shared" si="3"/>
        <v>8</v>
      </c>
      <c r="K33" s="154">
        <f t="shared" si="3"/>
        <v>7</v>
      </c>
      <c r="L33" s="154">
        <f t="shared" si="3"/>
        <v>6</v>
      </c>
      <c r="M33" s="154">
        <f t="shared" si="3"/>
        <v>5</v>
      </c>
      <c r="N33" s="154">
        <f t="shared" si="3"/>
        <v>4</v>
      </c>
      <c r="O33" s="154">
        <f t="shared" si="3"/>
        <v>3</v>
      </c>
      <c r="P33" s="154">
        <f t="shared" si="3"/>
        <v>2</v>
      </c>
      <c r="Q33" s="154">
        <f t="shared" si="3"/>
        <v>1</v>
      </c>
    </row>
    <row r="34" spans="1:17" ht="14.4" customHeight="1" x14ac:dyDescent="0.3">
      <c r="A34" s="192">
        <v>11</v>
      </c>
      <c r="B34" s="192"/>
      <c r="C34" s="153">
        <f t="shared" si="3"/>
        <v>14</v>
      </c>
      <c r="D34" s="153">
        <f t="shared" si="3"/>
        <v>13</v>
      </c>
      <c r="E34" s="153">
        <f t="shared" si="3"/>
        <v>12</v>
      </c>
      <c r="F34" s="153">
        <f t="shared" si="3"/>
        <v>11</v>
      </c>
      <c r="G34" s="153">
        <f t="shared" si="3"/>
        <v>10</v>
      </c>
      <c r="H34" s="153">
        <f t="shared" si="3"/>
        <v>9</v>
      </c>
      <c r="I34" s="153">
        <f t="shared" si="3"/>
        <v>8</v>
      </c>
      <c r="J34" s="153">
        <f t="shared" si="3"/>
        <v>7</v>
      </c>
      <c r="K34" s="153">
        <f t="shared" si="3"/>
        <v>6</v>
      </c>
      <c r="L34" s="153">
        <f t="shared" si="3"/>
        <v>5</v>
      </c>
      <c r="M34" s="153">
        <f t="shared" si="3"/>
        <v>4</v>
      </c>
      <c r="N34" s="153">
        <f t="shared" si="3"/>
        <v>3</v>
      </c>
      <c r="O34" s="153">
        <f t="shared" si="3"/>
        <v>2</v>
      </c>
      <c r="P34" s="153">
        <f t="shared" si="3"/>
        <v>1</v>
      </c>
      <c r="Q34" s="153">
        <f t="shared" si="3"/>
        <v>0</v>
      </c>
    </row>
    <row r="35" spans="1:17" ht="14.4" customHeight="1" x14ac:dyDescent="0.3">
      <c r="A35" s="162"/>
      <c r="B35" s="163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</row>
    <row r="36" spans="1:17" ht="12.6" customHeight="1" x14ac:dyDescent="0.3">
      <c r="A36" s="101" t="s">
        <v>46</v>
      </c>
      <c r="B36" s="102" t="s">
        <v>48</v>
      </c>
      <c r="C36" s="101"/>
      <c r="D36" s="101"/>
      <c r="E36" s="101"/>
      <c r="F36" s="101"/>
      <c r="G36" s="101"/>
      <c r="H36" s="101"/>
      <c r="I36" s="101"/>
      <c r="J36" s="101"/>
      <c r="K36" s="103" t="s">
        <v>216</v>
      </c>
      <c r="L36" s="104"/>
      <c r="M36" s="105" t="s">
        <v>8</v>
      </c>
      <c r="N36" s="105" t="s">
        <v>46</v>
      </c>
      <c r="O36" s="105" t="s">
        <v>217</v>
      </c>
      <c r="P36" s="105" t="s">
        <v>218</v>
      </c>
      <c r="Q36" s="105" t="s">
        <v>219</v>
      </c>
    </row>
    <row r="37" spans="1:17" ht="12.6" customHeight="1" x14ac:dyDescent="0.3">
      <c r="A37" s="99">
        <v>0</v>
      </c>
      <c r="B37" s="100" t="s">
        <v>248</v>
      </c>
      <c r="K37" s="98" t="s">
        <v>209</v>
      </c>
      <c r="L37" s="2"/>
      <c r="M37" s="106">
        <v>9</v>
      </c>
      <c r="N37" s="106">
        <v>0</v>
      </c>
      <c r="O37" s="106" t="s">
        <v>220</v>
      </c>
      <c r="P37" s="106" t="s">
        <v>221</v>
      </c>
      <c r="Q37" s="106" t="s">
        <v>222</v>
      </c>
    </row>
    <row r="38" spans="1:17" ht="12.6" customHeight="1" x14ac:dyDescent="0.3">
      <c r="A38" s="99" t="s">
        <v>250</v>
      </c>
      <c r="B38" s="110" t="s">
        <v>249</v>
      </c>
      <c r="C38" s="111"/>
      <c r="D38" s="111"/>
      <c r="E38" s="111"/>
      <c r="F38" s="111"/>
      <c r="G38" s="111"/>
      <c r="H38" s="111"/>
      <c r="I38" s="111"/>
      <c r="J38" s="111"/>
      <c r="K38" s="107" t="s">
        <v>260</v>
      </c>
      <c r="L38" s="108"/>
      <c r="M38" s="109">
        <v>8</v>
      </c>
      <c r="N38" s="109">
        <v>1</v>
      </c>
      <c r="O38" s="109" t="s">
        <v>220</v>
      </c>
      <c r="P38" s="109" t="s">
        <v>221</v>
      </c>
      <c r="Q38" s="109" t="s">
        <v>222</v>
      </c>
    </row>
    <row r="39" spans="1:17" ht="12.6" customHeight="1" x14ac:dyDescent="0.3">
      <c r="A39" s="99" t="s">
        <v>251</v>
      </c>
      <c r="B39" s="112" t="s">
        <v>252</v>
      </c>
      <c r="K39" s="98" t="s">
        <v>210</v>
      </c>
      <c r="L39" s="2"/>
      <c r="M39" s="106">
        <v>7</v>
      </c>
      <c r="N39" s="106">
        <v>2</v>
      </c>
      <c r="O39" s="106" t="s">
        <v>220</v>
      </c>
      <c r="P39" s="106" t="s">
        <v>221</v>
      </c>
      <c r="Q39" s="106" t="s">
        <v>222</v>
      </c>
    </row>
    <row r="40" spans="1:17" ht="12.6" customHeight="1" x14ac:dyDescent="0.3">
      <c r="A40" s="99">
        <v>1</v>
      </c>
      <c r="B40" s="110" t="s">
        <v>253</v>
      </c>
      <c r="C40" s="110"/>
      <c r="D40" s="110"/>
      <c r="E40" s="110"/>
      <c r="F40" s="110"/>
      <c r="G40" s="110"/>
      <c r="H40" s="110"/>
      <c r="I40" s="110"/>
      <c r="J40" s="110"/>
      <c r="K40" s="107" t="s">
        <v>211</v>
      </c>
      <c r="L40" s="108"/>
      <c r="M40" s="109">
        <v>6</v>
      </c>
      <c r="N40" s="109">
        <v>2</v>
      </c>
      <c r="O40" s="109" t="s">
        <v>220</v>
      </c>
      <c r="P40" s="109" t="s">
        <v>221</v>
      </c>
      <c r="Q40" s="109" t="s">
        <v>222</v>
      </c>
    </row>
    <row r="41" spans="1:17" ht="12.6" customHeight="1" x14ac:dyDescent="0.3">
      <c r="A41" s="99">
        <v>2</v>
      </c>
      <c r="B41" s="112" t="s">
        <v>255</v>
      </c>
      <c r="K41" s="98" t="s">
        <v>212</v>
      </c>
      <c r="L41" s="2"/>
      <c r="M41" s="106">
        <v>5</v>
      </c>
      <c r="N41" s="106">
        <v>2</v>
      </c>
      <c r="O41" s="106" t="s">
        <v>222</v>
      </c>
      <c r="P41" s="106" t="s">
        <v>221</v>
      </c>
      <c r="Q41" s="106" t="s">
        <v>221</v>
      </c>
    </row>
    <row r="42" spans="1:17" ht="12.6" customHeight="1" x14ac:dyDescent="0.3">
      <c r="A42" s="99">
        <v>3</v>
      </c>
      <c r="B42" s="110" t="s">
        <v>254</v>
      </c>
      <c r="C42" s="110"/>
      <c r="D42" s="110"/>
      <c r="E42" s="110"/>
      <c r="F42" s="110"/>
      <c r="G42" s="110"/>
      <c r="H42" s="110"/>
      <c r="I42" s="110"/>
      <c r="J42" s="110"/>
      <c r="K42" s="107" t="s">
        <v>214</v>
      </c>
      <c r="L42" s="108"/>
      <c r="M42" s="109">
        <v>4</v>
      </c>
      <c r="N42" s="109">
        <v>3</v>
      </c>
      <c r="O42" s="109" t="s">
        <v>221</v>
      </c>
      <c r="P42" s="109" t="s">
        <v>221</v>
      </c>
      <c r="Q42" s="109" t="s">
        <v>47</v>
      </c>
    </row>
    <row r="43" spans="1:17" ht="12.6" customHeight="1" x14ac:dyDescent="0.3">
      <c r="A43" s="99"/>
      <c r="B43" s="113"/>
      <c r="C43" s="19"/>
      <c r="D43" s="19"/>
      <c r="E43" s="19"/>
      <c r="G43" s="19"/>
      <c r="H43" s="19"/>
      <c r="I43" s="19"/>
      <c r="J43" s="3"/>
      <c r="K43" s="98" t="s">
        <v>215</v>
      </c>
      <c r="L43" s="2"/>
      <c r="M43" s="106">
        <v>3</v>
      </c>
      <c r="N43" s="106">
        <v>3</v>
      </c>
      <c r="O43" s="106" t="s">
        <v>221</v>
      </c>
      <c r="P43" s="106" t="s">
        <v>221</v>
      </c>
      <c r="Q43" s="106" t="s">
        <v>47</v>
      </c>
    </row>
    <row r="44" spans="1:17" ht="12.6" customHeight="1" x14ac:dyDescent="0.3">
      <c r="A44" t="s">
        <v>257</v>
      </c>
      <c r="B44" s="113"/>
      <c r="C44" s="19"/>
      <c r="D44" s="19"/>
      <c r="E44" s="19"/>
      <c r="F44" s="114"/>
      <c r="G44" s="19"/>
      <c r="H44" s="19"/>
      <c r="I44" s="19"/>
      <c r="J44" s="3"/>
      <c r="K44" s="107" t="s">
        <v>261</v>
      </c>
      <c r="L44" s="108"/>
      <c r="M44" s="109">
        <v>2</v>
      </c>
      <c r="N44" s="109">
        <v>3</v>
      </c>
      <c r="O44" s="109" t="s">
        <v>221</v>
      </c>
      <c r="P44" s="109" t="s">
        <v>221</v>
      </c>
      <c r="Q44" s="109" t="s">
        <v>47</v>
      </c>
    </row>
    <row r="45" spans="1:17" ht="12.6" customHeight="1" x14ac:dyDescent="0.3">
      <c r="A45" t="s">
        <v>256</v>
      </c>
      <c r="B45" s="113"/>
      <c r="C45" s="19"/>
      <c r="D45" s="19"/>
      <c r="E45" s="19"/>
      <c r="F45" s="19"/>
      <c r="G45" s="19"/>
      <c r="H45" s="19"/>
      <c r="I45" s="19"/>
      <c r="J45" s="3"/>
      <c r="K45" s="98" t="s">
        <v>213</v>
      </c>
      <c r="L45" s="2"/>
      <c r="M45" s="106">
        <v>-1</v>
      </c>
      <c r="N45" s="106">
        <v>2</v>
      </c>
      <c r="O45" s="106"/>
      <c r="P45" s="106"/>
      <c r="Q45" s="106"/>
    </row>
    <row r="46" spans="1:17" ht="12.6" customHeight="1" x14ac:dyDescent="0.3">
      <c r="A46" t="s">
        <v>258</v>
      </c>
      <c r="B46" s="113"/>
      <c r="C46" s="19"/>
      <c r="D46" s="19"/>
      <c r="E46" s="19"/>
      <c r="F46" s="19"/>
      <c r="G46" s="19"/>
      <c r="H46" s="19"/>
      <c r="I46" s="19"/>
      <c r="J46" s="3"/>
      <c r="K46" s="107" t="s">
        <v>262</v>
      </c>
      <c r="L46" s="108"/>
      <c r="M46" s="109">
        <v>-2</v>
      </c>
      <c r="N46" s="109">
        <v>3</v>
      </c>
      <c r="O46" s="109" t="s">
        <v>263</v>
      </c>
      <c r="P46" s="109"/>
      <c r="Q46" s="109"/>
    </row>
    <row r="47" spans="1:17" ht="12.6" customHeight="1" x14ac:dyDescent="0.3">
      <c r="A47" t="s">
        <v>259</v>
      </c>
      <c r="B47" s="19"/>
      <c r="C47" s="19"/>
      <c r="D47" s="19"/>
      <c r="E47" s="19"/>
      <c r="F47" s="19"/>
      <c r="G47" s="19"/>
      <c r="H47" s="19"/>
      <c r="I47" s="19"/>
      <c r="J47" s="3"/>
      <c r="Q47" s="115"/>
    </row>
    <row r="48" spans="1:17" ht="12.6" customHeight="1" x14ac:dyDescent="0.3">
      <c r="A48" s="18"/>
      <c r="Q48" s="115" t="s">
        <v>207</v>
      </c>
    </row>
    <row r="49" spans="1:1" ht="12.6" customHeight="1" x14ac:dyDescent="0.3"/>
    <row r="50" spans="1:1" ht="12.6" customHeight="1" x14ac:dyDescent="0.3"/>
    <row r="51" spans="1:1" ht="17.399999999999999" customHeight="1" x14ac:dyDescent="0.3">
      <c r="A51" s="18"/>
    </row>
    <row r="52" spans="1:1" ht="17.399999999999999" customHeight="1" x14ac:dyDescent="0.3">
      <c r="A52" s="18"/>
    </row>
    <row r="53" spans="1:1" ht="17.399999999999999" customHeight="1" x14ac:dyDescent="0.3">
      <c r="A53" s="18"/>
    </row>
    <row r="54" spans="1:1" ht="17.399999999999999" customHeight="1" x14ac:dyDescent="0.3">
      <c r="A54" s="19"/>
    </row>
    <row r="55" spans="1:1" ht="17.399999999999999" customHeight="1" x14ac:dyDescent="0.3">
      <c r="A55" s="6"/>
    </row>
    <row r="56" spans="1:1" ht="17.399999999999999" customHeight="1" x14ac:dyDescent="0.3"/>
    <row r="57" spans="1:1" ht="17.399999999999999" customHeight="1" x14ac:dyDescent="0.3"/>
    <row r="58" spans="1:1" ht="17.399999999999999" customHeight="1" x14ac:dyDescent="0.3"/>
    <row r="59" spans="1:1" ht="17.399999999999999" customHeight="1" x14ac:dyDescent="0.3"/>
    <row r="60" spans="1:1" ht="17.399999999999999" customHeight="1" x14ac:dyDescent="0.3"/>
    <row r="61" spans="1:1" ht="17.399999999999999" customHeight="1" x14ac:dyDescent="0.3"/>
    <row r="62" spans="1:1" ht="17.399999999999999" customHeight="1" x14ac:dyDescent="0.3"/>
    <row r="63" spans="1:1" ht="17.399999999999999" customHeight="1" x14ac:dyDescent="0.3"/>
    <row r="64" spans="1:1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F41"/>
  <sheetViews>
    <sheetView zoomScale="120" zoomScaleNormal="120" workbookViewId="0">
      <selection activeCell="I31" sqref="I31"/>
    </sheetView>
  </sheetViews>
  <sheetFormatPr defaultRowHeight="14.4" x14ac:dyDescent="0.3"/>
  <cols>
    <col min="1" max="1" width="3.109375" style="205" customWidth="1"/>
    <col min="2" max="2" width="27.5546875" style="199" bestFit="1" customWidth="1"/>
    <col min="3" max="3" width="5.77734375" style="196" customWidth="1"/>
    <col min="4" max="4" width="9" style="196" customWidth="1"/>
    <col min="5" max="5" width="6.33203125" style="196" customWidth="1"/>
    <col min="6" max="6" width="49.21875" style="195" customWidth="1"/>
    <col min="7" max="16384" width="8.88671875" style="195"/>
  </cols>
  <sheetData>
    <row r="1" spans="1:6" ht="15.6" x14ac:dyDescent="0.3">
      <c r="B1" s="204" t="s">
        <v>45</v>
      </c>
      <c r="C1" s="198" t="s">
        <v>265</v>
      </c>
      <c r="D1" s="198" t="s">
        <v>266</v>
      </c>
      <c r="E1" s="198" t="s">
        <v>46</v>
      </c>
      <c r="F1" s="197" t="s">
        <v>27</v>
      </c>
    </row>
    <row r="2" spans="1:6" x14ac:dyDescent="0.3">
      <c r="A2" s="205">
        <v>1</v>
      </c>
      <c r="B2" s="199" t="s">
        <v>267</v>
      </c>
      <c r="C2" s="196">
        <v>6</v>
      </c>
      <c r="D2" s="196" t="s">
        <v>268</v>
      </c>
      <c r="E2" s="196">
        <v>1</v>
      </c>
    </row>
    <row r="3" spans="1:6" x14ac:dyDescent="0.3">
      <c r="A3" s="205">
        <f>A2+1</f>
        <v>2</v>
      </c>
      <c r="B3" s="199" t="s">
        <v>269</v>
      </c>
      <c r="C3" s="196">
        <v>4</v>
      </c>
      <c r="D3" s="196" t="s">
        <v>268</v>
      </c>
      <c r="E3" s="196">
        <v>1</v>
      </c>
      <c r="F3" s="195" t="s">
        <v>270</v>
      </c>
    </row>
    <row r="4" spans="1:6" x14ac:dyDescent="0.3">
      <c r="A4" s="205">
        <f t="shared" ref="A4:A34" si="0">A3+1</f>
        <v>3</v>
      </c>
      <c r="B4" s="199" t="s">
        <v>271</v>
      </c>
      <c r="C4" s="196">
        <v>10</v>
      </c>
      <c r="D4" s="196" t="s">
        <v>268</v>
      </c>
      <c r="E4" s="196">
        <v>1</v>
      </c>
      <c r="F4" s="195" t="s">
        <v>272</v>
      </c>
    </row>
    <row r="5" spans="1:6" ht="28.8" x14ac:dyDescent="0.3">
      <c r="A5" s="205">
        <f t="shared" si="0"/>
        <v>4</v>
      </c>
      <c r="B5" s="199" t="s">
        <v>273</v>
      </c>
      <c r="C5" s="196">
        <v>6</v>
      </c>
      <c r="D5" s="196" t="s">
        <v>274</v>
      </c>
      <c r="E5" s="196" t="s">
        <v>330</v>
      </c>
      <c r="F5" s="195" t="s">
        <v>275</v>
      </c>
    </row>
    <row r="6" spans="1:6" x14ac:dyDescent="0.3">
      <c r="A6" s="205">
        <f t="shared" si="0"/>
        <v>5</v>
      </c>
      <c r="B6" s="199" t="s">
        <v>276</v>
      </c>
      <c r="C6" s="196">
        <v>4</v>
      </c>
      <c r="D6" s="196" t="s">
        <v>277</v>
      </c>
      <c r="E6" s="196">
        <v>1</v>
      </c>
      <c r="F6" s="195" t="s">
        <v>278</v>
      </c>
    </row>
    <row r="7" spans="1:6" x14ac:dyDescent="0.3">
      <c r="A7" s="205">
        <f t="shared" si="0"/>
        <v>6</v>
      </c>
      <c r="B7" s="199" t="s">
        <v>279</v>
      </c>
      <c r="C7" s="196">
        <v>6</v>
      </c>
      <c r="D7" s="196" t="s">
        <v>280</v>
      </c>
      <c r="E7" s="196">
        <v>0</v>
      </c>
      <c r="F7" s="195" t="s">
        <v>281</v>
      </c>
    </row>
    <row r="8" spans="1:6" x14ac:dyDescent="0.3">
      <c r="A8" s="205">
        <f t="shared" si="0"/>
        <v>7</v>
      </c>
      <c r="B8" s="199" t="s">
        <v>282</v>
      </c>
      <c r="C8" s="196">
        <v>6</v>
      </c>
      <c r="D8" s="196" t="s">
        <v>268</v>
      </c>
      <c r="E8" s="196">
        <v>1</v>
      </c>
      <c r="F8" s="195" t="s">
        <v>283</v>
      </c>
    </row>
    <row r="9" spans="1:6" x14ac:dyDescent="0.3">
      <c r="A9" s="205">
        <f t="shared" si="0"/>
        <v>8</v>
      </c>
      <c r="B9" s="199" t="s">
        <v>284</v>
      </c>
      <c r="C9" s="196">
        <v>4</v>
      </c>
      <c r="D9" s="196" t="s">
        <v>274</v>
      </c>
      <c r="E9" s="196">
        <v>1</v>
      </c>
    </row>
    <row r="10" spans="1:6" ht="28.8" x14ac:dyDescent="0.3">
      <c r="A10" s="205">
        <f t="shared" si="0"/>
        <v>9</v>
      </c>
      <c r="B10" s="199" t="s">
        <v>285</v>
      </c>
      <c r="C10" s="196">
        <v>2</v>
      </c>
      <c r="D10" s="196" t="s">
        <v>274</v>
      </c>
      <c r="E10" s="196">
        <v>1</v>
      </c>
      <c r="F10" s="195" t="s">
        <v>286</v>
      </c>
    </row>
    <row r="11" spans="1:6" x14ac:dyDescent="0.3">
      <c r="A11" s="205">
        <f t="shared" si="0"/>
        <v>10</v>
      </c>
      <c r="B11" s="199" t="s">
        <v>287</v>
      </c>
      <c r="C11" s="196">
        <v>10</v>
      </c>
      <c r="D11" s="196" t="s">
        <v>268</v>
      </c>
      <c r="E11" s="196">
        <v>0</v>
      </c>
      <c r="F11" s="195" t="s">
        <v>288</v>
      </c>
    </row>
    <row r="12" spans="1:6" x14ac:dyDescent="0.3">
      <c r="A12" s="205">
        <f t="shared" si="0"/>
        <v>11</v>
      </c>
      <c r="B12" s="199" t="s">
        <v>289</v>
      </c>
      <c r="C12" s="196">
        <v>12</v>
      </c>
      <c r="D12" s="196" t="s">
        <v>290</v>
      </c>
      <c r="E12" s="196" t="s">
        <v>329</v>
      </c>
      <c r="F12" s="195" t="s">
        <v>291</v>
      </c>
    </row>
    <row r="13" spans="1:6" x14ac:dyDescent="0.3">
      <c r="A13" s="205">
        <f t="shared" si="0"/>
        <v>12</v>
      </c>
      <c r="B13" s="199" t="s">
        <v>292</v>
      </c>
      <c r="C13" s="196">
        <v>8</v>
      </c>
      <c r="D13" s="196" t="s">
        <v>280</v>
      </c>
      <c r="E13" s="196">
        <v>1</v>
      </c>
    </row>
    <row r="14" spans="1:6" x14ac:dyDescent="0.3">
      <c r="A14" s="205">
        <f t="shared" si="0"/>
        <v>13</v>
      </c>
      <c r="B14" s="199" t="s">
        <v>293</v>
      </c>
      <c r="C14" s="196">
        <v>6</v>
      </c>
      <c r="D14" s="196" t="s">
        <v>277</v>
      </c>
      <c r="E14" s="196">
        <v>1</v>
      </c>
    </row>
    <row r="15" spans="1:6" x14ac:dyDescent="0.3">
      <c r="A15" s="205">
        <f t="shared" si="0"/>
        <v>14</v>
      </c>
      <c r="B15" s="199" t="s">
        <v>294</v>
      </c>
      <c r="C15" s="196">
        <v>10</v>
      </c>
      <c r="D15" s="196">
        <v>0</v>
      </c>
      <c r="E15" s="196">
        <v>1</v>
      </c>
    </row>
    <row r="16" spans="1:6" x14ac:dyDescent="0.3">
      <c r="A16" s="205">
        <f t="shared" si="0"/>
        <v>15</v>
      </c>
      <c r="B16" s="199" t="s">
        <v>295</v>
      </c>
      <c r="C16" s="196">
        <v>10</v>
      </c>
      <c r="D16" s="196" t="s">
        <v>296</v>
      </c>
      <c r="E16" s="196" t="s">
        <v>329</v>
      </c>
      <c r="F16" s="195" t="s">
        <v>297</v>
      </c>
    </row>
    <row r="17" spans="1:6" x14ac:dyDescent="0.3">
      <c r="A17" s="205">
        <f t="shared" si="0"/>
        <v>16</v>
      </c>
      <c r="B17" s="199" t="s">
        <v>298</v>
      </c>
      <c r="C17" s="196">
        <v>6</v>
      </c>
      <c r="D17" s="196" t="s">
        <v>299</v>
      </c>
      <c r="E17" s="196" t="s">
        <v>329</v>
      </c>
      <c r="F17" s="195" t="s">
        <v>300</v>
      </c>
    </row>
    <row r="18" spans="1:6" x14ac:dyDescent="0.3">
      <c r="A18" s="205">
        <f t="shared" si="0"/>
        <v>17</v>
      </c>
      <c r="B18" s="199" t="s">
        <v>301</v>
      </c>
      <c r="C18" s="196">
        <v>2</v>
      </c>
      <c r="D18" s="196" t="s">
        <v>302</v>
      </c>
      <c r="E18" s="196" t="s">
        <v>329</v>
      </c>
      <c r="F18" s="195" t="s">
        <v>303</v>
      </c>
    </row>
    <row r="19" spans="1:6" x14ac:dyDescent="0.3">
      <c r="A19" s="205">
        <f t="shared" si="0"/>
        <v>18</v>
      </c>
      <c r="B19" s="199" t="s">
        <v>304</v>
      </c>
      <c r="C19" s="196">
        <v>2</v>
      </c>
      <c r="D19" s="196" t="s">
        <v>305</v>
      </c>
      <c r="E19" s="196" t="s">
        <v>329</v>
      </c>
      <c r="F19" s="195" t="s">
        <v>306</v>
      </c>
    </row>
    <row r="20" spans="1:6" ht="28.8" x14ac:dyDescent="0.3">
      <c r="A20" s="205">
        <f t="shared" si="0"/>
        <v>19</v>
      </c>
      <c r="B20" s="199" t="s">
        <v>333</v>
      </c>
      <c r="C20" s="196">
        <v>3</v>
      </c>
      <c r="D20" s="196" t="s">
        <v>305</v>
      </c>
      <c r="E20" s="196" t="s">
        <v>329</v>
      </c>
      <c r="F20" s="195" t="s">
        <v>334</v>
      </c>
    </row>
    <row r="21" spans="1:6" x14ac:dyDescent="0.3">
      <c r="A21" s="205">
        <f t="shared" si="0"/>
        <v>20</v>
      </c>
      <c r="B21" s="199" t="s">
        <v>335</v>
      </c>
      <c r="D21" s="196" t="s">
        <v>302</v>
      </c>
      <c r="E21" s="196" t="s">
        <v>329</v>
      </c>
      <c r="F21" s="195" t="s">
        <v>336</v>
      </c>
    </row>
    <row r="22" spans="1:6" x14ac:dyDescent="0.3">
      <c r="A22" s="205">
        <f t="shared" si="0"/>
        <v>21</v>
      </c>
      <c r="B22" s="199" t="s">
        <v>307</v>
      </c>
      <c r="C22" s="196">
        <v>4</v>
      </c>
      <c r="D22" s="196" t="s">
        <v>305</v>
      </c>
      <c r="E22" s="196" t="s">
        <v>329</v>
      </c>
      <c r="F22" s="195" t="s">
        <v>308</v>
      </c>
    </row>
    <row r="23" spans="1:6" x14ac:dyDescent="0.3">
      <c r="A23" s="205">
        <f t="shared" si="0"/>
        <v>22</v>
      </c>
      <c r="B23" s="199" t="s">
        <v>337</v>
      </c>
      <c r="C23" s="196">
        <v>2</v>
      </c>
      <c r="D23" s="196" t="s">
        <v>338</v>
      </c>
      <c r="E23" s="196" t="s">
        <v>329</v>
      </c>
      <c r="F23" s="195" t="s">
        <v>339</v>
      </c>
    </row>
    <row r="24" spans="1:6" x14ac:dyDescent="0.3">
      <c r="A24" s="205">
        <f t="shared" si="0"/>
        <v>23</v>
      </c>
      <c r="B24" s="199" t="s">
        <v>309</v>
      </c>
      <c r="C24" s="196">
        <v>3</v>
      </c>
      <c r="D24" s="196" t="s">
        <v>310</v>
      </c>
      <c r="E24" s="196">
        <v>0</v>
      </c>
      <c r="F24" s="195" t="s">
        <v>311</v>
      </c>
    </row>
    <row r="25" spans="1:6" x14ac:dyDescent="0.3">
      <c r="A25" s="205">
        <f t="shared" si="0"/>
        <v>24</v>
      </c>
      <c r="B25" s="199" t="s">
        <v>312</v>
      </c>
      <c r="C25" s="196">
        <v>2</v>
      </c>
      <c r="D25" s="196" t="s">
        <v>310</v>
      </c>
      <c r="E25" s="196">
        <v>0</v>
      </c>
      <c r="F25" s="195" t="s">
        <v>313</v>
      </c>
    </row>
    <row r="26" spans="1:6" x14ac:dyDescent="0.3">
      <c r="A26" s="205">
        <f t="shared" si="0"/>
        <v>25</v>
      </c>
      <c r="B26" s="199" t="s">
        <v>314</v>
      </c>
      <c r="C26" s="196">
        <v>2</v>
      </c>
      <c r="D26" s="196" t="s">
        <v>315</v>
      </c>
      <c r="E26" s="196">
        <v>0</v>
      </c>
      <c r="F26" s="195" t="s">
        <v>306</v>
      </c>
    </row>
    <row r="27" spans="1:6" x14ac:dyDescent="0.3">
      <c r="A27" s="205">
        <f t="shared" si="0"/>
        <v>26</v>
      </c>
      <c r="B27" s="199" t="s">
        <v>316</v>
      </c>
      <c r="C27" s="196">
        <v>2</v>
      </c>
      <c r="D27" s="196" t="s">
        <v>315</v>
      </c>
      <c r="E27" s="196">
        <v>0</v>
      </c>
      <c r="F27" s="195" t="s">
        <v>317</v>
      </c>
    </row>
    <row r="28" spans="1:6" x14ac:dyDescent="0.3">
      <c r="A28" s="205">
        <f t="shared" si="0"/>
        <v>27</v>
      </c>
      <c r="B28" s="199" t="s">
        <v>318</v>
      </c>
      <c r="C28" s="196">
        <v>1</v>
      </c>
      <c r="D28" s="196" t="s">
        <v>305</v>
      </c>
      <c r="E28" s="196">
        <v>0</v>
      </c>
      <c r="F28" s="195" t="s">
        <v>319</v>
      </c>
    </row>
    <row r="29" spans="1:6" ht="28.8" x14ac:dyDescent="0.3">
      <c r="A29" s="205">
        <f t="shared" si="0"/>
        <v>28</v>
      </c>
      <c r="B29" s="199" t="s">
        <v>320</v>
      </c>
      <c r="C29" s="196">
        <v>1</v>
      </c>
      <c r="D29" s="196" t="s">
        <v>305</v>
      </c>
      <c r="E29" s="196">
        <v>0</v>
      </c>
      <c r="F29" s="195" t="s">
        <v>321</v>
      </c>
    </row>
    <row r="30" spans="1:6" ht="28.8" x14ac:dyDescent="0.3">
      <c r="A30" s="205">
        <f t="shared" si="0"/>
        <v>29</v>
      </c>
      <c r="B30" s="199" t="s">
        <v>322</v>
      </c>
      <c r="C30" s="196">
        <v>4</v>
      </c>
      <c r="D30" s="196" t="s">
        <v>310</v>
      </c>
      <c r="E30" s="196">
        <v>0</v>
      </c>
      <c r="F30" s="195" t="s">
        <v>297</v>
      </c>
    </row>
    <row r="31" spans="1:6" ht="28.8" x14ac:dyDescent="0.3">
      <c r="A31" s="205">
        <f t="shared" si="0"/>
        <v>30</v>
      </c>
      <c r="B31" s="199" t="s">
        <v>323</v>
      </c>
      <c r="C31" s="196">
        <v>2</v>
      </c>
      <c r="D31" s="196" t="s">
        <v>310</v>
      </c>
      <c r="E31" s="196">
        <v>0</v>
      </c>
      <c r="F31" s="195" t="s">
        <v>324</v>
      </c>
    </row>
    <row r="32" spans="1:6" x14ac:dyDescent="0.3">
      <c r="A32" s="205">
        <f t="shared" si="0"/>
        <v>31</v>
      </c>
      <c r="B32" s="199" t="s">
        <v>325</v>
      </c>
      <c r="C32" s="196">
        <v>3</v>
      </c>
      <c r="D32" s="196" t="s">
        <v>310</v>
      </c>
      <c r="E32" s="196">
        <v>0</v>
      </c>
      <c r="F32" s="195" t="s">
        <v>326</v>
      </c>
    </row>
    <row r="33" spans="1:6" x14ac:dyDescent="0.3">
      <c r="A33" s="205">
        <f t="shared" si="0"/>
        <v>32</v>
      </c>
      <c r="B33" s="199" t="s">
        <v>327</v>
      </c>
      <c r="C33" s="196">
        <v>2</v>
      </c>
      <c r="D33" s="196" t="s">
        <v>315</v>
      </c>
      <c r="E33" s="196">
        <v>0</v>
      </c>
      <c r="F33" s="195" t="s">
        <v>328</v>
      </c>
    </row>
    <row r="34" spans="1:6" ht="28.8" x14ac:dyDescent="0.3">
      <c r="A34" s="205">
        <f t="shared" si="0"/>
        <v>33</v>
      </c>
      <c r="B34" s="199" t="s">
        <v>331</v>
      </c>
      <c r="C34" s="196">
        <v>2</v>
      </c>
      <c r="D34" s="196" t="s">
        <v>305</v>
      </c>
      <c r="E34" s="196">
        <v>0</v>
      </c>
      <c r="F34" s="195" t="s">
        <v>332</v>
      </c>
    </row>
    <row r="35" spans="1:6" ht="8.4" customHeight="1" x14ac:dyDescent="0.3"/>
    <row r="36" spans="1:6" ht="28.8" x14ac:dyDescent="0.3">
      <c r="A36" s="205">
        <v>40</v>
      </c>
      <c r="B36" s="201" t="s">
        <v>340</v>
      </c>
      <c r="C36" s="202">
        <v>3</v>
      </c>
      <c r="D36" s="202" t="s">
        <v>344</v>
      </c>
      <c r="E36" s="202">
        <v>0</v>
      </c>
      <c r="F36" s="203" t="s">
        <v>347</v>
      </c>
    </row>
    <row r="37" spans="1:6" ht="28.8" x14ac:dyDescent="0.3">
      <c r="A37" s="205">
        <v>41</v>
      </c>
      <c r="B37" s="199" t="s">
        <v>341</v>
      </c>
      <c r="C37" s="196">
        <v>2</v>
      </c>
      <c r="D37" s="196" t="s">
        <v>310</v>
      </c>
      <c r="E37" s="196">
        <v>0</v>
      </c>
      <c r="F37" s="195" t="s">
        <v>348</v>
      </c>
    </row>
    <row r="38" spans="1:6" ht="28.8" x14ac:dyDescent="0.3">
      <c r="A38" s="205">
        <v>42</v>
      </c>
      <c r="B38" s="201" t="s">
        <v>342</v>
      </c>
      <c r="C38" s="202">
        <v>4</v>
      </c>
      <c r="D38" s="202" t="s">
        <v>345</v>
      </c>
      <c r="E38" s="202">
        <v>0</v>
      </c>
      <c r="F38" s="203" t="s">
        <v>349</v>
      </c>
    </row>
    <row r="39" spans="1:6" ht="28.8" x14ac:dyDescent="0.3">
      <c r="A39" s="205">
        <v>43</v>
      </c>
      <c r="B39" s="199" t="s">
        <v>343</v>
      </c>
      <c r="C39" s="196">
        <v>3</v>
      </c>
      <c r="D39" s="196" t="s">
        <v>346</v>
      </c>
      <c r="E39" s="196">
        <v>1</v>
      </c>
      <c r="F39" s="195" t="s">
        <v>350</v>
      </c>
    </row>
    <row r="40" spans="1:6" ht="5.4" customHeight="1" x14ac:dyDescent="0.3"/>
    <row r="41" spans="1:6" ht="15.6" x14ac:dyDescent="0.3">
      <c r="B41" s="200" t="s">
        <v>351</v>
      </c>
      <c r="C41" s="200"/>
      <c r="D41" s="200"/>
      <c r="E41" s="200"/>
      <c r="F41" s="200"/>
    </row>
  </sheetData>
  <mergeCells count="1">
    <mergeCell ref="B41:F4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  <vt:lpstr>Emporio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2025-12-18T23:07:04Z</cp:lastPrinted>
  <dcterms:created xsi:type="dcterms:W3CDTF">2025-12-03T19:05:58Z</dcterms:created>
  <dcterms:modified xsi:type="dcterms:W3CDTF">2025-12-18T23:39:38Z</dcterms:modified>
</cp:coreProperties>
</file>