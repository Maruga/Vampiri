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blic\_Clienti\Maruga\Giochi\Vampiri\Vault\Vampiri\Strumenti\"/>
    </mc:Choice>
  </mc:AlternateContent>
  <xr:revisionPtr revIDLastSave="0" documentId="13_ncr:1_{C13FF9D7-CFD2-4699-8AD5-DE74D9AD05F1}" xr6:coauthVersionLast="47" xr6:coauthVersionMax="47" xr10:uidLastSave="{00000000-0000-0000-0000-000000000000}"/>
  <bookViews>
    <workbookView xWindow="10560" yWindow="0" windowWidth="27396" windowHeight="16656" xr2:uid="{FC328CB3-F1C2-4520-956D-C4D288DB9EEB}"/>
  </bookViews>
  <sheets>
    <sheet name="Halfling A" sheetId="8" r:id="rId1"/>
    <sheet name="Elfo A" sheetId="7" r:id="rId2"/>
    <sheet name="Nano A" sheetId="6" r:id="rId3"/>
    <sheet name="Ladro A" sheetId="5" r:id="rId4"/>
    <sheet name="Magic A" sheetId="4" r:id="rId5"/>
    <sheet name="Fighter A" sheetId="3" r:id="rId6"/>
    <sheet name="Cleric A" sheetId="1" r:id="rId7"/>
    <sheet name="Oggetti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8" l="1"/>
  <c r="E30" i="7"/>
  <c r="E30" i="6"/>
  <c r="E30" i="5"/>
  <c r="E30" i="4"/>
  <c r="E30" i="3"/>
  <c r="E22" i="8"/>
  <c r="E23" i="8"/>
  <c r="E24" i="8"/>
  <c r="E25" i="8"/>
  <c r="E26" i="8"/>
  <c r="E27" i="8"/>
  <c r="E28" i="8"/>
  <c r="E29" i="8"/>
  <c r="E21" i="8"/>
  <c r="E22" i="7"/>
  <c r="E23" i="7"/>
  <c r="E24" i="7"/>
  <c r="E25" i="7"/>
  <c r="E26" i="7"/>
  <c r="E27" i="7"/>
  <c r="E28" i="7"/>
  <c r="E29" i="7"/>
  <c r="E21" i="7"/>
  <c r="E22" i="6"/>
  <c r="E23" i="6"/>
  <c r="E24" i="6"/>
  <c r="E25" i="6"/>
  <c r="E26" i="6"/>
  <c r="E27" i="6"/>
  <c r="E28" i="6"/>
  <c r="E29" i="6"/>
  <c r="E21" i="6"/>
  <c r="E22" i="5"/>
  <c r="E23" i="5"/>
  <c r="E24" i="5"/>
  <c r="E25" i="5"/>
  <c r="E26" i="5"/>
  <c r="E27" i="5"/>
  <c r="E28" i="5"/>
  <c r="E29" i="5"/>
  <c r="E21" i="5"/>
  <c r="E22" i="4"/>
  <c r="E23" i="4"/>
  <c r="E24" i="4"/>
  <c r="E25" i="4"/>
  <c r="E26" i="4"/>
  <c r="E27" i="4"/>
  <c r="E28" i="4"/>
  <c r="E29" i="4"/>
  <c r="E21" i="4"/>
  <c r="E22" i="3"/>
  <c r="E23" i="3"/>
  <c r="E24" i="3"/>
  <c r="E25" i="3"/>
  <c r="E26" i="3"/>
  <c r="E27" i="3"/>
  <c r="E28" i="3"/>
  <c r="E29" i="3"/>
  <c r="E21" i="3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C27" i="2"/>
  <c r="C28" i="2"/>
  <c r="C29" i="2"/>
  <c r="C30" i="2"/>
  <c r="C31" i="2"/>
  <c r="C32" i="2"/>
  <c r="C33" i="2"/>
  <c r="C34" i="2"/>
  <c r="C26" i="2"/>
  <c r="D25" i="2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Q32" i="2" s="1"/>
  <c r="D40" i="8"/>
  <c r="E40" i="8" s="1"/>
  <c r="F40" i="8" s="1"/>
  <c r="G40" i="8" s="1"/>
  <c r="H40" i="8" s="1"/>
  <c r="I40" i="8" s="1"/>
  <c r="J40" i="8" s="1"/>
  <c r="K40" i="8" s="1"/>
  <c r="L40" i="8" s="1"/>
  <c r="D39" i="8"/>
  <c r="E39" i="8" s="1"/>
  <c r="F39" i="8" s="1"/>
  <c r="G39" i="8" s="1"/>
  <c r="H39" i="8" s="1"/>
  <c r="I39" i="8" s="1"/>
  <c r="J39" i="8" s="1"/>
  <c r="K39" i="8" s="1"/>
  <c r="L39" i="8" s="1"/>
  <c r="D38" i="8"/>
  <c r="E38" i="8" s="1"/>
  <c r="F38" i="8" s="1"/>
  <c r="G38" i="8" s="1"/>
  <c r="H38" i="8" s="1"/>
  <c r="I38" i="8" s="1"/>
  <c r="J38" i="8" s="1"/>
  <c r="K38" i="8" s="1"/>
  <c r="L38" i="8" s="1"/>
  <c r="E37" i="8"/>
  <c r="F37" i="8" s="1"/>
  <c r="G37" i="8" s="1"/>
  <c r="H37" i="8" s="1"/>
  <c r="I37" i="8" s="1"/>
  <c r="J37" i="8" s="1"/>
  <c r="K37" i="8" s="1"/>
  <c r="L37" i="8" s="1"/>
  <c r="I18" i="8"/>
  <c r="K18" i="8" s="1"/>
  <c r="J18" i="8" s="1"/>
  <c r="I17" i="8"/>
  <c r="K17" i="8" s="1"/>
  <c r="J17" i="8" s="1"/>
  <c r="I16" i="8"/>
  <c r="K16" i="8" s="1"/>
  <c r="J16" i="8" s="1"/>
  <c r="I15" i="8"/>
  <c r="K15" i="8" s="1"/>
  <c r="J15" i="8" s="1"/>
  <c r="K14" i="8"/>
  <c r="J14" i="8" s="1"/>
  <c r="D40" i="7"/>
  <c r="E40" i="7" s="1"/>
  <c r="F40" i="7" s="1"/>
  <c r="G40" i="7" s="1"/>
  <c r="H40" i="7" s="1"/>
  <c r="I40" i="7" s="1"/>
  <c r="J40" i="7" s="1"/>
  <c r="K40" i="7" s="1"/>
  <c r="L40" i="7" s="1"/>
  <c r="D39" i="7"/>
  <c r="E39" i="7" s="1"/>
  <c r="F39" i="7" s="1"/>
  <c r="G39" i="7" s="1"/>
  <c r="H39" i="7" s="1"/>
  <c r="I39" i="7" s="1"/>
  <c r="J39" i="7" s="1"/>
  <c r="K39" i="7" s="1"/>
  <c r="L39" i="7" s="1"/>
  <c r="D38" i="7"/>
  <c r="E38" i="7" s="1"/>
  <c r="F38" i="7" s="1"/>
  <c r="G38" i="7" s="1"/>
  <c r="H38" i="7" s="1"/>
  <c r="I38" i="7" s="1"/>
  <c r="J38" i="7" s="1"/>
  <c r="K38" i="7" s="1"/>
  <c r="L38" i="7" s="1"/>
  <c r="E37" i="7"/>
  <c r="F37" i="7" s="1"/>
  <c r="G37" i="7" s="1"/>
  <c r="H37" i="7" s="1"/>
  <c r="I37" i="7" s="1"/>
  <c r="J37" i="7" s="1"/>
  <c r="K37" i="7" s="1"/>
  <c r="L37" i="7" s="1"/>
  <c r="I18" i="7"/>
  <c r="K18" i="7" s="1"/>
  <c r="J18" i="7" s="1"/>
  <c r="I17" i="7"/>
  <c r="K17" i="7" s="1"/>
  <c r="J17" i="7" s="1"/>
  <c r="I16" i="7"/>
  <c r="K16" i="7" s="1"/>
  <c r="J16" i="7" s="1"/>
  <c r="I15" i="7"/>
  <c r="K15" i="7" s="1"/>
  <c r="J15" i="7" s="1"/>
  <c r="K14" i="7"/>
  <c r="J14" i="7" s="1"/>
  <c r="D40" i="6"/>
  <c r="E40" i="6" s="1"/>
  <c r="F40" i="6" s="1"/>
  <c r="G40" i="6" s="1"/>
  <c r="H40" i="6" s="1"/>
  <c r="I40" i="6" s="1"/>
  <c r="J40" i="6" s="1"/>
  <c r="K40" i="6" s="1"/>
  <c r="L40" i="6" s="1"/>
  <c r="D39" i="6"/>
  <c r="E39" i="6" s="1"/>
  <c r="F39" i="6" s="1"/>
  <c r="G39" i="6" s="1"/>
  <c r="H39" i="6" s="1"/>
  <c r="I39" i="6" s="1"/>
  <c r="J39" i="6" s="1"/>
  <c r="K39" i="6" s="1"/>
  <c r="L39" i="6" s="1"/>
  <c r="D38" i="6"/>
  <c r="E38" i="6" s="1"/>
  <c r="F38" i="6" s="1"/>
  <c r="G38" i="6" s="1"/>
  <c r="H38" i="6" s="1"/>
  <c r="I38" i="6" s="1"/>
  <c r="J38" i="6" s="1"/>
  <c r="K38" i="6" s="1"/>
  <c r="L38" i="6" s="1"/>
  <c r="E37" i="6"/>
  <c r="F37" i="6" s="1"/>
  <c r="G37" i="6" s="1"/>
  <c r="H37" i="6" s="1"/>
  <c r="I37" i="6" s="1"/>
  <c r="J37" i="6" s="1"/>
  <c r="K37" i="6" s="1"/>
  <c r="L37" i="6" s="1"/>
  <c r="K18" i="6"/>
  <c r="J18" i="6"/>
  <c r="K17" i="6"/>
  <c r="J17" i="6" s="1"/>
  <c r="K16" i="6"/>
  <c r="J16" i="6"/>
  <c r="K15" i="6"/>
  <c r="J15" i="6" s="1"/>
  <c r="K14" i="6"/>
  <c r="J14" i="6" s="1"/>
  <c r="I18" i="5"/>
  <c r="K18" i="5" s="1"/>
  <c r="J18" i="5" s="1"/>
  <c r="I17" i="5"/>
  <c r="K17" i="5" s="1"/>
  <c r="J17" i="5" s="1"/>
  <c r="I16" i="5"/>
  <c r="I15" i="5"/>
  <c r="K15" i="5" s="1"/>
  <c r="J15" i="5" s="1"/>
  <c r="D40" i="5"/>
  <c r="E40" i="5" s="1"/>
  <c r="F40" i="5" s="1"/>
  <c r="G40" i="5" s="1"/>
  <c r="H40" i="5" s="1"/>
  <c r="I40" i="5" s="1"/>
  <c r="J40" i="5" s="1"/>
  <c r="K40" i="5" s="1"/>
  <c r="L40" i="5" s="1"/>
  <c r="D39" i="5"/>
  <c r="E39" i="5" s="1"/>
  <c r="F39" i="5" s="1"/>
  <c r="G39" i="5" s="1"/>
  <c r="H39" i="5" s="1"/>
  <c r="I39" i="5" s="1"/>
  <c r="J39" i="5" s="1"/>
  <c r="K39" i="5" s="1"/>
  <c r="L39" i="5" s="1"/>
  <c r="D38" i="5"/>
  <c r="E38" i="5" s="1"/>
  <c r="F38" i="5" s="1"/>
  <c r="G38" i="5" s="1"/>
  <c r="H38" i="5" s="1"/>
  <c r="I38" i="5" s="1"/>
  <c r="J38" i="5" s="1"/>
  <c r="K38" i="5" s="1"/>
  <c r="L38" i="5" s="1"/>
  <c r="E37" i="5"/>
  <c r="F37" i="5" s="1"/>
  <c r="G37" i="5" s="1"/>
  <c r="H37" i="5" s="1"/>
  <c r="I37" i="5" s="1"/>
  <c r="J37" i="5" s="1"/>
  <c r="K37" i="5" s="1"/>
  <c r="L37" i="5" s="1"/>
  <c r="K16" i="5"/>
  <c r="J16" i="5" s="1"/>
  <c r="K14" i="5"/>
  <c r="J14" i="5" s="1"/>
  <c r="I18" i="4"/>
  <c r="K18" i="4" s="1"/>
  <c r="J18" i="4" s="1"/>
  <c r="I17" i="4"/>
  <c r="K17" i="4" s="1"/>
  <c r="J17" i="4" s="1"/>
  <c r="I16" i="4"/>
  <c r="K16" i="4" s="1"/>
  <c r="J16" i="4" s="1"/>
  <c r="I15" i="4"/>
  <c r="K15" i="4" s="1"/>
  <c r="J15" i="4" s="1"/>
  <c r="D40" i="4"/>
  <c r="E40" i="4" s="1"/>
  <c r="F40" i="4" s="1"/>
  <c r="G40" i="4" s="1"/>
  <c r="H40" i="4" s="1"/>
  <c r="I40" i="4" s="1"/>
  <c r="J40" i="4" s="1"/>
  <c r="K40" i="4" s="1"/>
  <c r="L40" i="4" s="1"/>
  <c r="D39" i="4"/>
  <c r="E39" i="4" s="1"/>
  <c r="F39" i="4" s="1"/>
  <c r="G39" i="4" s="1"/>
  <c r="H39" i="4" s="1"/>
  <c r="I39" i="4" s="1"/>
  <c r="J39" i="4" s="1"/>
  <c r="K39" i="4" s="1"/>
  <c r="L39" i="4" s="1"/>
  <c r="D38" i="4"/>
  <c r="E38" i="4" s="1"/>
  <c r="F38" i="4" s="1"/>
  <c r="G38" i="4" s="1"/>
  <c r="H38" i="4" s="1"/>
  <c r="I38" i="4" s="1"/>
  <c r="J38" i="4" s="1"/>
  <c r="K38" i="4" s="1"/>
  <c r="L38" i="4" s="1"/>
  <c r="E37" i="4"/>
  <c r="F37" i="4" s="1"/>
  <c r="G37" i="4" s="1"/>
  <c r="H37" i="4" s="1"/>
  <c r="I37" i="4" s="1"/>
  <c r="J37" i="4" s="1"/>
  <c r="K37" i="4" s="1"/>
  <c r="L37" i="4" s="1"/>
  <c r="K14" i="4"/>
  <c r="J14" i="4" s="1"/>
  <c r="D40" i="3"/>
  <c r="E40" i="3" s="1"/>
  <c r="F40" i="3" s="1"/>
  <c r="G40" i="3" s="1"/>
  <c r="H40" i="3" s="1"/>
  <c r="I40" i="3" s="1"/>
  <c r="J40" i="3" s="1"/>
  <c r="K40" i="3" s="1"/>
  <c r="L40" i="3" s="1"/>
  <c r="D39" i="3"/>
  <c r="E39" i="3" s="1"/>
  <c r="F39" i="3" s="1"/>
  <c r="G39" i="3" s="1"/>
  <c r="H39" i="3" s="1"/>
  <c r="I39" i="3" s="1"/>
  <c r="J39" i="3" s="1"/>
  <c r="K39" i="3" s="1"/>
  <c r="L39" i="3" s="1"/>
  <c r="D38" i="3"/>
  <c r="E38" i="3" s="1"/>
  <c r="F38" i="3" s="1"/>
  <c r="G38" i="3" s="1"/>
  <c r="H38" i="3" s="1"/>
  <c r="I38" i="3" s="1"/>
  <c r="J38" i="3" s="1"/>
  <c r="K38" i="3" s="1"/>
  <c r="L38" i="3" s="1"/>
  <c r="E37" i="3"/>
  <c r="F37" i="3" s="1"/>
  <c r="G37" i="3" s="1"/>
  <c r="H37" i="3" s="1"/>
  <c r="I37" i="3" s="1"/>
  <c r="J37" i="3" s="1"/>
  <c r="K37" i="3" s="1"/>
  <c r="L37" i="3" s="1"/>
  <c r="K18" i="3"/>
  <c r="J18" i="3" s="1"/>
  <c r="K17" i="3"/>
  <c r="J17" i="3" s="1"/>
  <c r="K16" i="3"/>
  <c r="J16" i="3" s="1"/>
  <c r="K15" i="3"/>
  <c r="J15" i="3" s="1"/>
  <c r="K14" i="3"/>
  <c r="J14" i="3" s="1"/>
  <c r="K15" i="1"/>
  <c r="J15" i="1" s="1"/>
  <c r="K16" i="1"/>
  <c r="J16" i="1" s="1"/>
  <c r="K17" i="1"/>
  <c r="J17" i="1" s="1"/>
  <c r="K18" i="1"/>
  <c r="J18" i="1" s="1"/>
  <c r="K14" i="1"/>
  <c r="J14" i="1" s="1"/>
  <c r="D39" i="1"/>
  <c r="E39" i="1" s="1"/>
  <c r="F39" i="1" s="1"/>
  <c r="G39" i="1" s="1"/>
  <c r="H39" i="1" s="1"/>
  <c r="I39" i="1" s="1"/>
  <c r="J39" i="1" s="1"/>
  <c r="K39" i="1" s="1"/>
  <c r="L39" i="1" s="1"/>
  <c r="D40" i="1"/>
  <c r="E40" i="1" s="1"/>
  <c r="F40" i="1" s="1"/>
  <c r="G40" i="1" s="1"/>
  <c r="H40" i="1" s="1"/>
  <c r="I40" i="1" s="1"/>
  <c r="J40" i="1" s="1"/>
  <c r="K40" i="1" s="1"/>
  <c r="L40" i="1" s="1"/>
  <c r="D38" i="1"/>
  <c r="E38" i="1" s="1"/>
  <c r="F38" i="1" s="1"/>
  <c r="G38" i="1" s="1"/>
  <c r="H38" i="1" s="1"/>
  <c r="I38" i="1" s="1"/>
  <c r="J38" i="1" s="1"/>
  <c r="K38" i="1" s="1"/>
  <c r="L38" i="1" s="1"/>
  <c r="E37" i="1"/>
  <c r="F37" i="1" s="1"/>
  <c r="G37" i="1" s="1"/>
  <c r="H37" i="1" s="1"/>
  <c r="I37" i="1" s="1"/>
  <c r="J37" i="1" s="1"/>
  <c r="K37" i="1" s="1"/>
  <c r="L37" i="1" s="1"/>
  <c r="F29" i="2" l="1"/>
  <c r="E29" i="2"/>
  <c r="O34" i="2"/>
  <c r="N34" i="2"/>
  <c r="M34" i="2"/>
  <c r="I32" i="2"/>
  <c r="M31" i="2"/>
  <c r="L31" i="2"/>
  <c r="K31" i="2"/>
  <c r="H29" i="2"/>
  <c r="G29" i="2"/>
  <c r="Q33" i="2"/>
  <c r="P33" i="2"/>
  <c r="J31" i="2"/>
  <c r="D29" i="2"/>
  <c r="O33" i="2"/>
  <c r="G28" i="2"/>
  <c r="I31" i="2"/>
  <c r="N33" i="2"/>
  <c r="H31" i="2"/>
  <c r="F28" i="2"/>
  <c r="E28" i="2"/>
  <c r="G31" i="2"/>
  <c r="L33" i="2"/>
  <c r="K30" i="2"/>
  <c r="D28" i="2"/>
  <c r="K33" i="2"/>
  <c r="J30" i="2"/>
  <c r="Q27" i="2"/>
  <c r="O32" i="2"/>
  <c r="I30" i="2"/>
  <c r="P27" i="2"/>
  <c r="M33" i="2"/>
  <c r="N32" i="2"/>
  <c r="H30" i="2"/>
  <c r="E27" i="2"/>
  <c r="M32" i="2"/>
  <c r="G30" i="2"/>
  <c r="D27" i="2"/>
  <c r="L32" i="2"/>
  <c r="F30" i="2"/>
  <c r="Q26" i="2"/>
  <c r="Q34" i="2"/>
  <c r="K32" i="2"/>
  <c r="E30" i="2"/>
  <c r="P26" i="2"/>
  <c r="P34" i="2"/>
  <c r="J32" i="2"/>
  <c r="I29" i="2"/>
  <c r="N26" i="2"/>
  <c r="O26" i="2"/>
  <c r="Q28" i="2"/>
  <c r="O27" i="2"/>
  <c r="M26" i="2"/>
  <c r="L34" i="2"/>
  <c r="J33" i="2"/>
  <c r="H32" i="2"/>
  <c r="F31" i="2"/>
  <c r="D30" i="2"/>
  <c r="P28" i="2"/>
  <c r="N27" i="2"/>
  <c r="L26" i="2"/>
  <c r="K34" i="2"/>
  <c r="I33" i="2"/>
  <c r="G32" i="2"/>
  <c r="E31" i="2"/>
  <c r="Q29" i="2"/>
  <c r="O28" i="2"/>
  <c r="M27" i="2"/>
  <c r="K26" i="2"/>
  <c r="J34" i="2"/>
  <c r="H33" i="2"/>
  <c r="F32" i="2"/>
  <c r="D31" i="2"/>
  <c r="P29" i="2"/>
  <c r="N28" i="2"/>
  <c r="L27" i="2"/>
  <c r="J26" i="2"/>
  <c r="I34" i="2"/>
  <c r="G33" i="2"/>
  <c r="E32" i="2"/>
  <c r="Q30" i="2"/>
  <c r="O29" i="2"/>
  <c r="M28" i="2"/>
  <c r="K27" i="2"/>
  <c r="I26" i="2"/>
  <c r="H34" i="2"/>
  <c r="F33" i="2"/>
  <c r="D32" i="2"/>
  <c r="P30" i="2"/>
  <c r="N29" i="2"/>
  <c r="L28" i="2"/>
  <c r="J27" i="2"/>
  <c r="H26" i="2"/>
  <c r="G34" i="2"/>
  <c r="E33" i="2"/>
  <c r="Q31" i="2"/>
  <c r="O30" i="2"/>
  <c r="M29" i="2"/>
  <c r="K28" i="2"/>
  <c r="I27" i="2"/>
  <c r="G26" i="2"/>
  <c r="F34" i="2"/>
  <c r="D33" i="2"/>
  <c r="P31" i="2"/>
  <c r="N30" i="2"/>
  <c r="L29" i="2"/>
  <c r="J28" i="2"/>
  <c r="H27" i="2"/>
  <c r="F26" i="2"/>
  <c r="E34" i="2"/>
  <c r="O31" i="2"/>
  <c r="M30" i="2"/>
  <c r="K29" i="2"/>
  <c r="I28" i="2"/>
  <c r="G27" i="2"/>
  <c r="E26" i="2"/>
  <c r="D34" i="2"/>
  <c r="P32" i="2"/>
  <c r="N31" i="2"/>
  <c r="L30" i="2"/>
  <c r="J29" i="2"/>
  <c r="H28" i="2"/>
  <c r="F27" i="2"/>
  <c r="D26" i="2"/>
</calcChain>
</file>

<file path=xl/sharedStrings.xml><?xml version="1.0" encoding="utf-8"?>
<sst xmlns="http://schemas.openxmlformats.org/spreadsheetml/2006/main" count="868" uniqueCount="262">
  <si>
    <t>Giocatore</t>
  </si>
  <si>
    <t>Allineamento</t>
  </si>
  <si>
    <t>FOR</t>
  </si>
  <si>
    <t>DES</t>
  </si>
  <si>
    <t>COS</t>
  </si>
  <si>
    <t>INT</t>
  </si>
  <si>
    <t>SAG</t>
  </si>
  <si>
    <t>CAR</t>
  </si>
  <si>
    <t>CA</t>
  </si>
  <si>
    <t>PF</t>
  </si>
  <si>
    <t>Tiri salvezza</t>
  </si>
  <si>
    <t>Bacchetta</t>
  </si>
  <si>
    <t>Soffio Drago</t>
  </si>
  <si>
    <t>Incantesimi Bastone Magico</t>
  </si>
  <si>
    <t>Pietrificazione Paralisi</t>
  </si>
  <si>
    <t>Arma</t>
  </si>
  <si>
    <t>Lingue Parlate</t>
  </si>
  <si>
    <t>Movimento</t>
  </si>
  <si>
    <t>Correre</t>
  </si>
  <si>
    <t>Range</t>
  </si>
  <si>
    <t>AC 9</t>
  </si>
  <si>
    <t>Combattimento</t>
  </si>
  <si>
    <t>Giornaliero</t>
  </si>
  <si>
    <t>melee</t>
  </si>
  <si>
    <t>Pugnale</t>
  </si>
  <si>
    <t>Arco Lungo</t>
  </si>
  <si>
    <t>Danno</t>
  </si>
  <si>
    <t>Note</t>
  </si>
  <si>
    <t>1d6</t>
  </si>
  <si>
    <t>Abilità</t>
  </si>
  <si>
    <t>1 Livello</t>
  </si>
  <si>
    <t>2 Livello</t>
  </si>
  <si>
    <t>1/6 Ascoltare rumori</t>
  </si>
  <si>
    <t>Classe</t>
  </si>
  <si>
    <t>Esperienza</t>
  </si>
  <si>
    <t>Arrampicarsi</t>
  </si>
  <si>
    <t>Nuotare</t>
  </si>
  <si>
    <t>Peso</t>
  </si>
  <si>
    <t>Esplorazione</t>
  </si>
  <si>
    <t>3 Livello</t>
  </si>
  <si>
    <t>mo</t>
  </si>
  <si>
    <t>mr</t>
  </si>
  <si>
    <t>Incantesimi Scelti</t>
  </si>
  <si>
    <t>pp</t>
  </si>
  <si>
    <t>ma</t>
  </si>
  <si>
    <t>Qt.</t>
  </si>
  <si>
    <t>Oggetto</t>
  </si>
  <si>
    <t>Slot</t>
  </si>
  <si>
    <t>-</t>
  </si>
  <si>
    <t>Esempio</t>
  </si>
  <si>
    <t>Armi grandi, armatura pesante, scudo grande, arco l., balestra p.</t>
  </si>
  <si>
    <t>Armi piccole, torce, pozioni, corda, faretra, acqua s., bacchette</t>
  </si>
  <si>
    <t>Armi m., armature l., scudo , arco c., balestra l., stivali, mantello</t>
  </si>
  <si>
    <t>Anelli, amuleti, pergamene (10), chiavi, gemme</t>
  </si>
  <si>
    <t>Sutan Ambermoor</t>
  </si>
  <si>
    <t>Neutrale</t>
  </si>
  <si>
    <t>Veleno, Raggio della Morte, +1 mg</t>
  </si>
  <si>
    <t>Mazza</t>
  </si>
  <si>
    <t>Fionda</t>
  </si>
  <si>
    <t>1/6 trovare porte segrete</t>
  </si>
  <si>
    <t>1/6 ascoltare attr. Porte</t>
  </si>
  <si>
    <t>Slot/Equipaggiamento</t>
  </si>
  <si>
    <t>3/Armatura a piastre</t>
  </si>
  <si>
    <t>1/Mazza</t>
  </si>
  <si>
    <t>1/Fionda</t>
  </si>
  <si>
    <t>0/Vestiti, Cintura, Stivali</t>
  </si>
  <si>
    <t>0/Simbolo sacro</t>
  </si>
  <si>
    <t>2/Scudo +1</t>
  </si>
  <si>
    <t>Ogni 100 mo 1 Slot, Borsa Conservante +5 slot, fiale 1 slot ogni 5</t>
  </si>
  <si>
    <t>+6</t>
  </si>
  <si>
    <t>4 Livello</t>
  </si>
  <si>
    <t>Cura Ferite Gravi  2d6+2</t>
  </si>
  <si>
    <t>Piedi</t>
  </si>
  <si>
    <t>Metri</t>
  </si>
  <si>
    <t>Quad.</t>
  </si>
  <si>
    <t>19km</t>
  </si>
  <si>
    <t>12 mi</t>
  </si>
  <si>
    <t>1R</t>
  </si>
  <si>
    <t>1T</t>
  </si>
  <si>
    <t>1G</t>
  </si>
  <si>
    <t>Scacciare 2d6</t>
  </si>
  <si>
    <t>Umano</t>
  </si>
  <si>
    <t>Cura Ferite Leggere 1d6+1, Protezione dal Male -1TxC 12T</t>
  </si>
  <si>
    <t>Arma Potenziata +1d6 1T</t>
  </si>
  <si>
    <t>Benedizione +1TxC 6R, Trovare Trap./Segr. 2T 30'</t>
  </si>
  <si>
    <t>Acqua Santa</t>
  </si>
  <si>
    <t>40/80/160'</t>
  </si>
  <si>
    <t>10/30/50'</t>
  </si>
  <si>
    <t>1d8</t>
  </si>
  <si>
    <t>20 Pietre</t>
  </si>
  <si>
    <t>1d4</t>
  </si>
  <si>
    <t>Apre porte bloccate con 1-2 su 1d6</t>
  </si>
  <si>
    <t>Penalità a attacchi a distanza -1, CA +1, iniziativa -1</t>
  </si>
  <si>
    <t>Nessun modificatore</t>
  </si>
  <si>
    <t>Sa scrivere parole semplici</t>
  </si>
  <si>
    <t>+1 ai TS contro magia</t>
  </si>
  <si>
    <t>Reazioni PNG +0, massimo 4 seguaci, morale seguaci 7</t>
  </si>
  <si>
    <t>1/Fiale Acqua santa (2)</t>
  </si>
  <si>
    <t>Mod.</t>
  </si>
  <si>
    <t>Iniziativa</t>
  </si>
  <si>
    <t>Razza</t>
  </si>
  <si>
    <t>30.000</t>
  </si>
  <si>
    <t>1R = 10 Sec. | 1T = 10 Min.</t>
  </si>
  <si>
    <t>Carica: +2 TxC, -2 CA</t>
  </si>
  <si>
    <t>1°/2</t>
  </si>
  <si>
    <t>2°/2</t>
  </si>
  <si>
    <t>3°/1</t>
  </si>
  <si>
    <t>4°/1</t>
  </si>
  <si>
    <t xml:space="preserve">Chierico </t>
  </si>
  <si>
    <t>6°</t>
  </si>
  <si>
    <t>Corazzato Lento Curatore</t>
  </si>
  <si>
    <t>Melisizwe Jeighmoor</t>
  </si>
  <si>
    <t>Guerriero</t>
  </si>
  <si>
    <t>Ascia da B.</t>
  </si>
  <si>
    <t>1d8+3</t>
  </si>
  <si>
    <t>1d4+2</t>
  </si>
  <si>
    <t>70/140/210'</t>
  </si>
  <si>
    <t>+8</t>
  </si>
  <si>
    <t>1 mano 1d6+3</t>
  </si>
  <si>
    <t>1/Pugnali</t>
  </si>
  <si>
    <t>3/Arco Lungo</t>
  </si>
  <si>
    <t>2/Ascia da Battaglia +1</t>
  </si>
  <si>
    <t>Apre porte bloccate con 1-4 su 1d6</t>
  </si>
  <si>
    <t>Bonus a attacchi a distanza, CA, iniziativa</t>
  </si>
  <si>
    <t>Penalità ai TS contro magia</t>
  </si>
  <si>
    <t>lanciabile 10/20/30'</t>
  </si>
  <si>
    <t>12 freccie</t>
  </si>
  <si>
    <t>1/Faretra</t>
  </si>
  <si>
    <t>Guerriero Corazzato Arciere</t>
  </si>
  <si>
    <t>Ascia due mani</t>
  </si>
  <si>
    <t>Arco lungo</t>
  </si>
  <si>
    <t>Ascia/pugnale + Scudo</t>
  </si>
  <si>
    <t>Combinazioni</t>
  </si>
  <si>
    <t>Juven Lionsbane</t>
  </si>
  <si>
    <t>Mago</t>
  </si>
  <si>
    <t>5°</t>
  </si>
  <si>
    <t>Apre porte bloccate con 1 su 1d6</t>
  </si>
  <si>
    <t>Bonus punti ferita aggiunti al totale</t>
  </si>
  <si>
    <t>Legge e scrive più lingue</t>
  </si>
  <si>
    <t>Reazioni PNG -1, massimo 3 seguaci, morale seguaci 6</t>
  </si>
  <si>
    <t>38km</t>
  </si>
  <si>
    <t>24mi</t>
  </si>
  <si>
    <t>2/Bastone</t>
  </si>
  <si>
    <t>1/Pugnali (2)</t>
  </si>
  <si>
    <t>1/Libro Incantesimi</t>
  </si>
  <si>
    <t>Bastone</t>
  </si>
  <si>
    <t>1d4-1</t>
  </si>
  <si>
    <t>10/20/30'</t>
  </si>
  <si>
    <t>Palla di Fuoco 5d6 240</t>
  </si>
  <si>
    <t>Dardo Incantato 2d6+2 150, Scudo CA2</t>
  </si>
  <si>
    <t>Immagine Speculare 1d4 6T, Levitare 11T</t>
  </si>
  <si>
    <t>Fragile Arcano Potente</t>
  </si>
  <si>
    <t>Ladro</t>
  </si>
  <si>
    <t>Cesaire Thorn</t>
  </si>
  <si>
    <t>12mi</t>
  </si>
  <si>
    <t>Spada</t>
  </si>
  <si>
    <t>Arco Corto</t>
  </si>
  <si>
    <t>50/100/150'</t>
  </si>
  <si>
    <t>2/Armatura di cuoio +1</t>
  </si>
  <si>
    <t>2/Arco Corto</t>
  </si>
  <si>
    <t>1/Atrezzi da scasso</t>
  </si>
  <si>
    <t>2/Spada</t>
  </si>
  <si>
    <t>3/6 Ascoltare rumori</t>
  </si>
  <si>
    <t>3/6 ascoltare attr. Porte</t>
  </si>
  <si>
    <t>Scassinare</t>
  </si>
  <si>
    <t>Borseggiare</t>
  </si>
  <si>
    <t>Muoversi Silenziosamente</t>
  </si>
  <si>
    <t>Scalare Parti Lisce</t>
  </si>
  <si>
    <t>Nascondersi nelle Ombre</t>
  </si>
  <si>
    <t>Trov./Rim. Trappole</t>
  </si>
  <si>
    <t>Leg. Lingue non Magiche</t>
  </si>
  <si>
    <t>Attacco alle Spalle +4 TxC, Danno x 2</t>
  </si>
  <si>
    <t>Agile Furtivo Preciso</t>
  </si>
  <si>
    <t>Seska Poluth</t>
  </si>
  <si>
    <t>Nano</t>
  </si>
  <si>
    <t>+7</t>
  </si>
  <si>
    <t>Apre porte bloccate con 1-3 su 1d6</t>
  </si>
  <si>
    <t>Legge e scrive nella lingua nativa</t>
  </si>
  <si>
    <t>Bonus ai TS contro magia</t>
  </si>
  <si>
    <t>Common, Nanco, Gnomesco, Koboldo,Goblin</t>
  </si>
  <si>
    <t>Infravsione 60'/12q</t>
  </si>
  <si>
    <t>1d8+1</t>
  </si>
  <si>
    <t>50/100/150</t>
  </si>
  <si>
    <t>1d4+1</t>
  </si>
  <si>
    <t>1 mano  1d6+1</t>
  </si>
  <si>
    <t>2/Ascia da Battaglia</t>
  </si>
  <si>
    <t>2/Scudo</t>
  </si>
  <si>
    <t>Nano Corazzato Resistente</t>
  </si>
  <si>
    <t>Conno Darhov</t>
  </si>
  <si>
    <t>Elfo</t>
  </si>
  <si>
    <t>33,650</t>
  </si>
  <si>
    <t>2/6 trovare porte segrete</t>
  </si>
  <si>
    <t>Immune paralisi Ghoul</t>
  </si>
  <si>
    <t>1d8+2</t>
  </si>
  <si>
    <t>Fulmine 5d6 60'x5'</t>
  </si>
  <si>
    <t>Dardo Incantato 2d6+2 150' x 2</t>
  </si>
  <si>
    <t>Immagine Speculare 1d4 6T, Scassinare 60'</t>
  </si>
  <si>
    <t>2/Cotta di maglia</t>
  </si>
  <si>
    <t>Guerriero Arcano Versatile</t>
  </si>
  <si>
    <t>2/6 ascoltare attr. Porte</t>
  </si>
  <si>
    <t>18mi</t>
  </si>
  <si>
    <t>29km</t>
  </si>
  <si>
    <t>Azzeil Summerhill</t>
  </si>
  <si>
    <t>Halfling</t>
  </si>
  <si>
    <t>1/Spada Corta</t>
  </si>
  <si>
    <t>1/Sacchetto Pietre</t>
  </si>
  <si>
    <t>Spada Corta</t>
  </si>
  <si>
    <t>1d6+1</t>
  </si>
  <si>
    <t>12 pietre</t>
  </si>
  <si>
    <t>All'aperto (boschi/sottobosco): 90% di non essere individuato</t>
  </si>
  <si>
    <t>In dungeon (ombre, fermo e silenzioso): 1-2 su 1d6 di non essere visto</t>
  </si>
  <si>
    <t>Halfling vs Nemici Grandi: +2 CA contro creature più grandi di un umano</t>
  </si>
  <si>
    <t>2/6 Ascoltare rumori</t>
  </si>
  <si>
    <t>THAC0</t>
  </si>
  <si>
    <t>THAC0 - Tiro = CA Colpita</t>
  </si>
  <si>
    <t>Note/Cariche</t>
  </si>
  <si>
    <t>Nessuna</t>
  </si>
  <si>
    <t>Cuoio</t>
  </si>
  <si>
    <t>Cuoio Borchiato</t>
  </si>
  <si>
    <t>Cotta di maglie</t>
  </si>
  <si>
    <t>Scudo</t>
  </si>
  <si>
    <t>Arm. a Scaglie</t>
  </si>
  <si>
    <t>Arm. a bande</t>
  </si>
  <si>
    <t>Arm. a Piastre</t>
  </si>
  <si>
    <t>Armatura</t>
  </si>
  <si>
    <t>U/E</t>
  </si>
  <si>
    <t>N</t>
  </si>
  <si>
    <t>H</t>
  </si>
  <si>
    <t>40'</t>
  </si>
  <si>
    <t>20'</t>
  </si>
  <si>
    <t>30'</t>
  </si>
  <si>
    <t>TS: tiro ≥ valore = successo</t>
  </si>
  <si>
    <t>Ritirata difensiva: ½ mov., no attacco opportunità</t>
  </si>
  <si>
    <t>Copertura vs area: Parz. +2 TS, Quasi tot. +4 TS</t>
  </si>
  <si>
    <t>Copertura: Parz. -2 TxC, Quasi tot. -4 TxC nemico</t>
  </si>
  <si>
    <t>by Maru</t>
  </si>
  <si>
    <t>Distanza: Corto +1 TxC | Medio +0 | Lungo -1 TxC</t>
  </si>
  <si>
    <t>melee lenta</t>
  </si>
  <si>
    <t>Torcia 30'/6□, Lanterna 30'/6□, -2 TxC luce fioca, -4 TxC buio</t>
  </si>
  <si>
    <t>Sovraccarico</t>
  </si>
  <si>
    <t>Slot Totali</t>
  </si>
  <si>
    <t>Slot Occupati</t>
  </si>
  <si>
    <t>Slot Bonus</t>
  </si>
  <si>
    <t>Afferrrare, Liberarsi da presa, Azione Pronta</t>
  </si>
  <si>
    <t>Carica, Ritirata difensiva, Difesa totale</t>
  </si>
  <si>
    <t xml:space="preserve">Attraversare alleati ©, Passare posizione © , </t>
  </si>
  <si>
    <t>Spinta, Disarmo, Parare (F), Colpo potente (F)</t>
  </si>
  <si>
    <t>Azione pronta, Preparare per carica</t>
  </si>
  <si>
    <t>Banca</t>
  </si>
  <si>
    <t>Trasportati</t>
  </si>
  <si>
    <t>Copertura: Parziale -2 TxC | Totale -4 TxC</t>
  </si>
  <si>
    <t>Prone: +2 TxC nemici, metà mov per alzarsi</t>
  </si>
  <si>
    <t>Tiro oltre 1* alleato: -2 TxC, 1 Colpito Alleato</t>
  </si>
  <si>
    <t>Distanza:   corta +1, lunga -1</t>
  </si>
  <si>
    <t>Freccie</t>
  </si>
  <si>
    <t>Quadrelli</t>
  </si>
  <si>
    <t>Pietre</t>
  </si>
  <si>
    <t>Dardi</t>
  </si>
  <si>
    <t>Giavellotti</t>
  </si>
  <si>
    <t>Olio</t>
  </si>
  <si>
    <t>Torce</t>
  </si>
  <si>
    <t>Lancio, 2R Danni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</si>
</sst>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8" formatCode="_-* #,##0.00_-;\-* #,##0.00_-;_-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6"/>
      <color theme="8" tint="-0.249977111117893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6"/>
      <color theme="5"/>
      <name val="Aptos Narrow"/>
      <family val="2"/>
      <scheme val="minor"/>
    </font>
    <font>
      <b/>
      <sz val="26"/>
      <color theme="6"/>
      <name val="Aptos Narrow"/>
      <family val="2"/>
      <scheme val="minor"/>
    </font>
    <font>
      <b/>
      <sz val="16"/>
      <color theme="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22"/>
      <color theme="6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rgb="FFC00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11"/>
      <color theme="1"/>
      <name val="Aptos"/>
      <family val="2"/>
    </font>
    <font>
      <b/>
      <sz val="14"/>
      <color theme="0"/>
      <name val="Aptos"/>
      <family val="2"/>
    </font>
    <font>
      <b/>
      <sz val="12"/>
      <color theme="0"/>
      <name val="Aptos"/>
      <family val="2"/>
    </font>
    <font>
      <b/>
      <sz val="11"/>
      <color theme="0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b/>
      <sz val="10"/>
      <color theme="1"/>
      <name val="Aptos Narrow"/>
      <family val="2"/>
      <scheme val="minor"/>
    </font>
    <font>
      <b/>
      <sz val="12"/>
      <color rgb="FFC00000"/>
      <name val="Aptos"/>
      <family val="2"/>
    </font>
    <font>
      <i/>
      <sz val="9"/>
      <color theme="1"/>
      <name val="Aptos"/>
      <family val="2"/>
    </font>
    <font>
      <b/>
      <sz val="16"/>
      <name val="Aptos Black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i/>
      <sz val="1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2"/>
      <name val="Aptos"/>
      <family val="2"/>
    </font>
    <font>
      <sz val="10"/>
      <name val="Aptos Narrow"/>
      <family val="2"/>
      <scheme val="minor"/>
    </font>
    <font>
      <b/>
      <sz val="10"/>
      <color theme="0"/>
      <name val="Aptos"/>
      <family val="2"/>
    </font>
    <font>
      <b/>
      <sz val="10"/>
      <color theme="1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168" fontId="11" fillId="0" borderId="0" applyFont="0" applyFill="0" applyBorder="0" applyAlignment="0" applyProtection="0"/>
  </cellStyleXfs>
  <cellXfs count="2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20" fillId="0" borderId="0" xfId="0" applyFont="1"/>
    <xf numFmtId="0" fontId="21" fillId="5" borderId="0" xfId="0" applyFont="1" applyFill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5" borderId="0" xfId="0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8" borderId="0" xfId="0" applyFill="1" applyAlignment="1">
      <alignment vertical="center"/>
    </xf>
    <xf numFmtId="0" fontId="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left"/>
    </xf>
    <xf numFmtId="0" fontId="0" fillId="11" borderId="0" xfId="0" applyFill="1"/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vertical="center"/>
    </xf>
    <xf numFmtId="0" fontId="27" fillId="8" borderId="0" xfId="0" applyFont="1" applyFill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13" fillId="6" borderId="0" xfId="0" applyFont="1" applyFill="1" applyAlignment="1">
      <alignment horizontal="left" vertical="center"/>
    </xf>
    <xf numFmtId="0" fontId="0" fillId="0" borderId="3" xfId="0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0" borderId="3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8" borderId="3" xfId="0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left" vertical="center"/>
    </xf>
    <xf numFmtId="0" fontId="23" fillId="9" borderId="4" xfId="0" applyFont="1" applyFill="1" applyBorder="1" applyAlignment="1">
      <alignment horizontal="center" vertical="center"/>
    </xf>
    <xf numFmtId="0" fontId="22" fillId="13" borderId="4" xfId="0" applyFont="1" applyFill="1" applyBorder="1"/>
    <xf numFmtId="0" fontId="22" fillId="13" borderId="4" xfId="0" applyFont="1" applyFill="1" applyBorder="1" applyAlignment="1">
      <alignment horizontal="left"/>
    </xf>
    <xf numFmtId="0" fontId="22" fillId="12" borderId="5" xfId="0" applyFont="1" applyFill="1" applyBorder="1" applyAlignment="1">
      <alignment horizontal="left" vertical="center"/>
    </xf>
    <xf numFmtId="0" fontId="22" fillId="12" borderId="4" xfId="0" applyFont="1" applyFill="1" applyBorder="1" applyAlignment="1">
      <alignment vertical="center"/>
    </xf>
    <xf numFmtId="0" fontId="22" fillId="12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0" xfId="0" quotePrefix="1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vertical="center"/>
    </xf>
    <xf numFmtId="0" fontId="3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9" borderId="4" xfId="0" applyFont="1" applyFill="1" applyBorder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0" fontId="25" fillId="10" borderId="7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vertical="center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left" vertical="center"/>
    </xf>
    <xf numFmtId="0" fontId="31" fillId="0" borderId="2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vertical="center"/>
    </xf>
    <xf numFmtId="0" fontId="1" fillId="4" borderId="12" xfId="0" applyFont="1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1" fillId="4" borderId="13" xfId="0" applyFont="1" applyFill="1" applyBorder="1" applyAlignment="1">
      <alignment horizontal="left" vertical="center"/>
    </xf>
    <xf numFmtId="0" fontId="0" fillId="4" borderId="13" xfId="0" applyFill="1" applyBorder="1" applyAlignment="1">
      <alignment vertical="center"/>
    </xf>
    <xf numFmtId="0" fontId="18" fillId="4" borderId="13" xfId="0" applyFont="1" applyFill="1" applyBorder="1" applyAlignment="1">
      <alignment horizontal="center" vertical="center"/>
    </xf>
    <xf numFmtId="0" fontId="0" fillId="4" borderId="14" xfId="0" applyFill="1" applyBorder="1" applyAlignment="1">
      <alignment vertical="center"/>
    </xf>
    <xf numFmtId="0" fontId="1" fillId="4" borderId="14" xfId="0" applyFont="1" applyFill="1" applyBorder="1" applyAlignment="1">
      <alignment horizontal="left" vertical="center"/>
    </xf>
    <xf numFmtId="0" fontId="0" fillId="4" borderId="13" xfId="0" quotePrefix="1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  <xf numFmtId="0" fontId="0" fillId="4" borderId="0" xfId="0" applyFill="1" applyBorder="1" applyAlignment="1">
      <alignment vertical="center"/>
    </xf>
    <xf numFmtId="0" fontId="1" fillId="4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left"/>
    </xf>
    <xf numFmtId="0" fontId="0" fillId="0" borderId="21" xfId="0" applyBorder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0" fillId="0" borderId="0" xfId="0" quotePrefix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vertical="center"/>
    </xf>
    <xf numFmtId="0" fontId="31" fillId="4" borderId="0" xfId="0" applyFont="1" applyFill="1" applyBorder="1" applyAlignment="1">
      <alignment horizontal="left" vertical="center"/>
    </xf>
    <xf numFmtId="0" fontId="32" fillId="4" borderId="0" xfId="0" applyFont="1" applyFill="1" applyBorder="1" applyAlignment="1">
      <alignment horizontal="left" vertical="center"/>
    </xf>
    <xf numFmtId="0" fontId="31" fillId="0" borderId="18" xfId="0" applyFont="1" applyBorder="1" applyAlignment="1">
      <alignment vertical="center"/>
    </xf>
    <xf numFmtId="0" fontId="0" fillId="3" borderId="0" xfId="0" applyFill="1" applyBorder="1" applyAlignment="1">
      <alignment horizontal="center" vertical="center"/>
    </xf>
    <xf numFmtId="0" fontId="31" fillId="0" borderId="16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34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19" xfId="0" applyFont="1" applyBorder="1" applyAlignment="1">
      <alignment horizontal="center" vertical="center"/>
    </xf>
    <xf numFmtId="0" fontId="31" fillId="0" borderId="16" xfId="0" applyFont="1" applyBorder="1" applyAlignment="1">
      <alignment vertical="center"/>
    </xf>
    <xf numFmtId="0" fontId="33" fillId="0" borderId="0" xfId="0" applyFont="1" applyBorder="1" applyAlignment="1">
      <alignment horizontal="right" vertical="center"/>
    </xf>
    <xf numFmtId="0" fontId="30" fillId="0" borderId="19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1" fillId="0" borderId="19" xfId="0" applyFont="1" applyBorder="1" applyAlignment="1">
      <alignment vertical="center"/>
    </xf>
    <xf numFmtId="0" fontId="32" fillId="0" borderId="21" xfId="0" applyFont="1" applyBorder="1" applyAlignment="1">
      <alignment horizontal="center" vertical="center"/>
    </xf>
    <xf numFmtId="9" fontId="1" fillId="0" borderId="0" xfId="0" applyNumberFormat="1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164" fontId="31" fillId="0" borderId="19" xfId="1" applyNumberFormat="1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36" fillId="0" borderId="0" xfId="0" applyFont="1" applyBorder="1" applyAlignment="1">
      <alignment vertical="center"/>
    </xf>
    <xf numFmtId="0" fontId="33" fillId="0" borderId="0" xfId="0" applyFont="1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18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7" borderId="18" xfId="0" applyFill="1" applyBorder="1" applyAlignment="1">
      <alignment vertical="center"/>
    </xf>
    <xf numFmtId="0" fontId="1" fillId="0" borderId="18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7" fillId="0" borderId="18" xfId="0" applyFont="1" applyBorder="1" applyAlignment="1">
      <alignment horizontal="right" vertical="center"/>
    </xf>
    <xf numFmtId="0" fontId="9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8" fillId="0" borderId="19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3" fillId="0" borderId="19" xfId="0" applyFont="1" applyBorder="1" applyAlignment="1">
      <alignment horizontal="center" vertical="center"/>
    </xf>
    <xf numFmtId="0" fontId="35" fillId="0" borderId="0" xfId="0" applyFont="1" applyBorder="1"/>
    <xf numFmtId="0" fontId="35" fillId="0" borderId="0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6" borderId="0" xfId="0" applyFont="1" applyFill="1" applyAlignment="1">
      <alignment vertical="center"/>
    </xf>
    <xf numFmtId="0" fontId="37" fillId="0" borderId="16" xfId="0" applyFont="1" applyBorder="1" applyAlignment="1">
      <alignment horizontal="left" vertical="center"/>
    </xf>
    <xf numFmtId="0" fontId="37" fillId="0" borderId="18" xfId="0" applyFont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6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38" fillId="9" borderId="4" xfId="0" applyFont="1" applyFill="1" applyBorder="1" applyAlignment="1">
      <alignment horizontal="center" vertical="center"/>
    </xf>
    <xf numFmtId="0" fontId="12" fillId="0" borderId="0" xfId="0" applyFont="1"/>
    <xf numFmtId="0" fontId="39" fillId="10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</cellXfs>
  <cellStyles count="3">
    <cellStyle name="Migliaia" xfId="1" builtinId="3"/>
    <cellStyle name="Migliaia 2" xfId="2" xr:uid="{DF04117C-163E-4146-A757-6E01626FAE5C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096D-79DA-41F6-8B7D-BDB9F86329A6}">
  <dimension ref="A1:AA40"/>
  <sheetViews>
    <sheetView tabSelected="1" topLeftCell="A9" zoomScale="110" zoomScaleNormal="110" workbookViewId="0">
      <selection activeCell="G32" sqref="G32"/>
    </sheetView>
  </sheetViews>
  <sheetFormatPr defaultRowHeight="14.4" x14ac:dyDescent="0.3"/>
  <cols>
    <col min="1" max="2" width="11.109375" style="2" customWidth="1"/>
    <col min="3" max="13" width="4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97" t="s">
        <v>0</v>
      </c>
      <c r="B1" s="98" t="s">
        <v>202</v>
      </c>
      <c r="C1" s="98"/>
      <c r="D1" s="99"/>
      <c r="E1" s="100"/>
      <c r="F1" s="101"/>
      <c r="G1" s="102" t="s">
        <v>172</v>
      </c>
      <c r="H1" s="98"/>
      <c r="I1" s="101"/>
      <c r="J1" s="103"/>
      <c r="K1" s="104" t="s">
        <v>34</v>
      </c>
      <c r="L1" s="99"/>
      <c r="M1" s="99"/>
      <c r="N1" s="105" t="s">
        <v>101</v>
      </c>
      <c r="O1" s="98"/>
      <c r="P1" s="106"/>
    </row>
    <row r="2" spans="1:16" ht="20.399999999999999" customHeight="1" x14ac:dyDescent="0.3">
      <c r="A2" s="107" t="s">
        <v>100</v>
      </c>
      <c r="B2" s="83" t="s">
        <v>203</v>
      </c>
      <c r="C2" s="83"/>
      <c r="D2" s="108"/>
      <c r="E2" s="84" t="s">
        <v>33</v>
      </c>
      <c r="F2" s="85"/>
      <c r="G2" s="85" t="s">
        <v>203</v>
      </c>
      <c r="H2" s="85"/>
      <c r="I2" s="86" t="s">
        <v>135</v>
      </c>
      <c r="J2" s="108"/>
      <c r="K2" s="109" t="s">
        <v>1</v>
      </c>
      <c r="L2" s="110"/>
      <c r="M2" s="110"/>
      <c r="N2" s="83" t="s">
        <v>55</v>
      </c>
      <c r="O2" s="83"/>
      <c r="P2" s="111"/>
    </row>
    <row r="3" spans="1:16" ht="9.6" customHeight="1" x14ac:dyDescent="0.3">
      <c r="A3" s="112"/>
      <c r="B3" s="68"/>
      <c r="C3" s="68"/>
      <c r="D3" s="68"/>
      <c r="E3" s="68"/>
      <c r="F3" s="68"/>
      <c r="G3" s="68"/>
      <c r="H3" s="68"/>
      <c r="I3" s="93"/>
      <c r="J3" s="93"/>
      <c r="K3" s="68"/>
      <c r="L3" s="68"/>
      <c r="M3" s="68"/>
      <c r="N3" s="68"/>
      <c r="O3" s="68"/>
      <c r="P3" s="113"/>
    </row>
    <row r="4" spans="1:16" ht="18.600000000000001" customHeight="1" x14ac:dyDescent="0.3">
      <c r="A4" s="114" t="s">
        <v>8</v>
      </c>
      <c r="B4" s="115">
        <v>3</v>
      </c>
      <c r="C4" s="116"/>
      <c r="D4" s="117" t="s">
        <v>37</v>
      </c>
      <c r="E4" s="116"/>
      <c r="F4" s="118">
        <v>20</v>
      </c>
      <c r="G4" s="119" t="s">
        <v>69</v>
      </c>
      <c r="H4" s="116"/>
      <c r="I4" s="116"/>
      <c r="J4" s="116"/>
      <c r="K4" s="120" t="s">
        <v>99</v>
      </c>
      <c r="L4" s="116"/>
      <c r="M4" s="121">
        <v>2</v>
      </c>
      <c r="N4" s="116"/>
      <c r="O4" s="117" t="s">
        <v>9</v>
      </c>
      <c r="P4" s="122">
        <v>25</v>
      </c>
    </row>
    <row r="5" spans="1:16" ht="19.8" customHeight="1" x14ac:dyDescent="0.3">
      <c r="A5" s="123" t="s">
        <v>29</v>
      </c>
      <c r="B5" s="78"/>
      <c r="C5" s="93"/>
      <c r="D5" s="93"/>
      <c r="E5" s="93"/>
      <c r="F5" s="93"/>
      <c r="G5" s="93"/>
      <c r="H5" s="93"/>
      <c r="I5" s="93"/>
      <c r="J5" s="93" t="s">
        <v>98</v>
      </c>
      <c r="K5" s="93"/>
      <c r="L5" s="93"/>
      <c r="M5" s="78" t="s">
        <v>10</v>
      </c>
      <c r="N5" s="77"/>
      <c r="O5" s="77"/>
      <c r="P5" s="124"/>
    </row>
    <row r="6" spans="1:16" ht="32.4" customHeight="1" x14ac:dyDescent="0.3">
      <c r="A6" s="125">
        <v>14</v>
      </c>
      <c r="B6" s="120" t="s">
        <v>2</v>
      </c>
      <c r="C6" s="126" t="s">
        <v>176</v>
      </c>
      <c r="D6" s="126"/>
      <c r="E6" s="126"/>
      <c r="F6" s="126"/>
      <c r="G6" s="126"/>
      <c r="H6" s="126"/>
      <c r="I6" s="126"/>
      <c r="J6" s="118">
        <v>1</v>
      </c>
      <c r="K6" s="118"/>
      <c r="L6" s="93"/>
      <c r="M6" s="127" t="s">
        <v>56</v>
      </c>
      <c r="N6" s="127"/>
      <c r="O6" s="127"/>
      <c r="P6" s="128">
        <v>6</v>
      </c>
    </row>
    <row r="7" spans="1:16" ht="32.4" customHeight="1" x14ac:dyDescent="0.3">
      <c r="A7" s="125">
        <v>14</v>
      </c>
      <c r="B7" s="120" t="s">
        <v>3</v>
      </c>
      <c r="C7" s="126" t="s">
        <v>123</v>
      </c>
      <c r="D7" s="126"/>
      <c r="E7" s="126"/>
      <c r="F7" s="126"/>
      <c r="G7" s="126"/>
      <c r="H7" s="126"/>
      <c r="I7" s="126"/>
      <c r="J7" s="118">
        <v>1</v>
      </c>
      <c r="K7" s="118"/>
      <c r="L7" s="93"/>
      <c r="M7" s="127" t="s">
        <v>11</v>
      </c>
      <c r="N7" s="127"/>
      <c r="O7" s="127"/>
      <c r="P7" s="128">
        <v>7</v>
      </c>
    </row>
    <row r="8" spans="1:16" ht="32.4" customHeight="1" x14ac:dyDescent="0.3">
      <c r="A8" s="125">
        <v>9</v>
      </c>
      <c r="B8" s="120" t="s">
        <v>4</v>
      </c>
      <c r="C8" s="126" t="s">
        <v>93</v>
      </c>
      <c r="D8" s="126"/>
      <c r="E8" s="126"/>
      <c r="F8" s="126"/>
      <c r="G8" s="126"/>
      <c r="H8" s="126"/>
      <c r="I8" s="126"/>
      <c r="J8" s="118">
        <v>0</v>
      </c>
      <c r="K8" s="118"/>
      <c r="L8" s="93"/>
      <c r="M8" s="127" t="s">
        <v>14</v>
      </c>
      <c r="N8" s="127"/>
      <c r="O8" s="127"/>
      <c r="P8" s="128">
        <v>8</v>
      </c>
    </row>
    <row r="9" spans="1:16" ht="32.4" customHeight="1" x14ac:dyDescent="0.3">
      <c r="A9" s="125">
        <v>13</v>
      </c>
      <c r="B9" s="120" t="s">
        <v>5</v>
      </c>
      <c r="C9" s="126" t="s">
        <v>138</v>
      </c>
      <c r="D9" s="126"/>
      <c r="E9" s="126"/>
      <c r="F9" s="126"/>
      <c r="G9" s="126"/>
      <c r="H9" s="126"/>
      <c r="I9" s="126"/>
      <c r="J9" s="118">
        <v>1</v>
      </c>
      <c r="K9" s="118"/>
      <c r="L9" s="93"/>
      <c r="M9" s="127" t="s">
        <v>12</v>
      </c>
      <c r="N9" s="127"/>
      <c r="O9" s="127"/>
      <c r="P9" s="128">
        <v>10</v>
      </c>
    </row>
    <row r="10" spans="1:16" ht="32.4" customHeight="1" x14ac:dyDescent="0.3">
      <c r="A10" s="125">
        <v>12</v>
      </c>
      <c r="B10" s="120" t="s">
        <v>6</v>
      </c>
      <c r="C10" s="126" t="s">
        <v>93</v>
      </c>
      <c r="D10" s="126"/>
      <c r="E10" s="126"/>
      <c r="F10" s="126"/>
      <c r="G10" s="126"/>
      <c r="H10" s="126"/>
      <c r="I10" s="126"/>
      <c r="J10" s="118">
        <v>0</v>
      </c>
      <c r="K10" s="118"/>
      <c r="L10" s="93"/>
      <c r="M10" s="127" t="s">
        <v>13</v>
      </c>
      <c r="N10" s="127"/>
      <c r="O10" s="127"/>
      <c r="P10" s="128">
        <v>10</v>
      </c>
    </row>
    <row r="11" spans="1:16" ht="32.4" customHeight="1" x14ac:dyDescent="0.3">
      <c r="A11" s="125">
        <v>11</v>
      </c>
      <c r="B11" s="120" t="s">
        <v>7</v>
      </c>
      <c r="C11" s="126" t="s">
        <v>96</v>
      </c>
      <c r="D11" s="126"/>
      <c r="E11" s="126"/>
      <c r="F11" s="126"/>
      <c r="G11" s="126"/>
      <c r="H11" s="126"/>
      <c r="I11" s="126"/>
      <c r="J11" s="118">
        <v>0</v>
      </c>
      <c r="K11" s="118"/>
      <c r="L11" s="93"/>
      <c r="M11" s="93"/>
      <c r="N11" s="93"/>
      <c r="O11" s="93"/>
      <c r="P11" s="129"/>
    </row>
    <row r="12" spans="1:16" ht="8.4" customHeight="1" x14ac:dyDescent="0.3">
      <c r="A12" s="130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129"/>
    </row>
    <row r="13" spans="1:16" s="3" customFormat="1" ht="15.6" customHeight="1" x14ac:dyDescent="0.3">
      <c r="A13" s="131" t="s">
        <v>16</v>
      </c>
      <c r="B13" s="75"/>
      <c r="C13" s="67"/>
      <c r="D13" s="68"/>
      <c r="E13" s="75" t="s">
        <v>17</v>
      </c>
      <c r="F13" s="75"/>
      <c r="G13" s="75"/>
      <c r="H13" s="67"/>
      <c r="I13" s="132" t="s">
        <v>72</v>
      </c>
      <c r="J13" s="132" t="s">
        <v>73</v>
      </c>
      <c r="K13" s="132" t="s">
        <v>74</v>
      </c>
      <c r="L13" s="68"/>
      <c r="M13" s="68"/>
      <c r="N13" s="75" t="s">
        <v>61</v>
      </c>
      <c r="O13" s="76"/>
      <c r="P13" s="133"/>
    </row>
    <row r="14" spans="1:16" s="3" customFormat="1" ht="15.6" customHeight="1" x14ac:dyDescent="0.3">
      <c r="A14" s="134" t="s">
        <v>179</v>
      </c>
      <c r="B14" s="73"/>
      <c r="C14" s="68"/>
      <c r="D14" s="68"/>
      <c r="E14" s="67" t="s">
        <v>21</v>
      </c>
      <c r="F14" s="67"/>
      <c r="G14" s="68"/>
      <c r="H14" s="135" t="s">
        <v>77</v>
      </c>
      <c r="I14" s="136">
        <v>20</v>
      </c>
      <c r="J14" s="116">
        <f>K14*1.5</f>
        <v>6</v>
      </c>
      <c r="K14" s="116">
        <f>I14/5</f>
        <v>4</v>
      </c>
      <c r="L14" s="68"/>
      <c r="M14" s="68"/>
      <c r="N14" s="68" t="s">
        <v>197</v>
      </c>
      <c r="O14" s="68"/>
      <c r="P14" s="113"/>
    </row>
    <row r="15" spans="1:16" s="3" customFormat="1" ht="15.6" customHeight="1" x14ac:dyDescent="0.3">
      <c r="A15" s="137"/>
      <c r="B15" s="74"/>
      <c r="C15" s="68"/>
      <c r="D15" s="68"/>
      <c r="E15" s="138" t="s">
        <v>38</v>
      </c>
      <c r="F15" s="138"/>
      <c r="G15" s="139"/>
      <c r="H15" s="140" t="s">
        <v>78</v>
      </c>
      <c r="I15" s="141">
        <f>I14*3</f>
        <v>60</v>
      </c>
      <c r="J15" s="141">
        <f>K15*1.5</f>
        <v>18</v>
      </c>
      <c r="K15" s="141">
        <f t="shared" ref="K15:K18" si="0">I15/5</f>
        <v>12</v>
      </c>
      <c r="L15" s="68"/>
      <c r="M15" s="68"/>
      <c r="N15" s="68" t="s">
        <v>143</v>
      </c>
      <c r="O15" s="68"/>
      <c r="P15" s="113"/>
    </row>
    <row r="16" spans="1:16" s="3" customFormat="1" ht="15.6" customHeight="1" x14ac:dyDescent="0.3">
      <c r="A16" s="137"/>
      <c r="B16" s="74"/>
      <c r="C16" s="68"/>
      <c r="D16" s="68"/>
      <c r="E16" s="67" t="s">
        <v>18</v>
      </c>
      <c r="F16" s="67"/>
      <c r="G16" s="68"/>
      <c r="H16" s="135" t="s">
        <v>77</v>
      </c>
      <c r="I16" s="136">
        <f>I14*3</f>
        <v>60</v>
      </c>
      <c r="J16" s="116">
        <f>K16*1.5</f>
        <v>18</v>
      </c>
      <c r="K16" s="116">
        <f t="shared" si="0"/>
        <v>12</v>
      </c>
      <c r="L16" s="68"/>
      <c r="M16" s="68"/>
      <c r="N16" s="68" t="s">
        <v>205</v>
      </c>
      <c r="O16" s="68"/>
      <c r="P16" s="113"/>
    </row>
    <row r="17" spans="1:16" s="3" customFormat="1" ht="15.6" customHeight="1" x14ac:dyDescent="0.3">
      <c r="A17" s="142" t="s">
        <v>214</v>
      </c>
      <c r="B17" s="143"/>
      <c r="C17" s="68"/>
      <c r="D17" s="68"/>
      <c r="E17" s="138" t="s">
        <v>35</v>
      </c>
      <c r="F17" s="138"/>
      <c r="G17" s="139"/>
      <c r="H17" s="140" t="s">
        <v>77</v>
      </c>
      <c r="I17" s="141">
        <f>I14/2</f>
        <v>10</v>
      </c>
      <c r="J17" s="141">
        <f>K17*1.5</f>
        <v>3</v>
      </c>
      <c r="K17" s="141">
        <f t="shared" si="0"/>
        <v>2</v>
      </c>
      <c r="L17" s="68"/>
      <c r="M17" s="68"/>
      <c r="N17" s="68" t="s">
        <v>65</v>
      </c>
      <c r="O17" s="68"/>
      <c r="P17" s="113"/>
    </row>
    <row r="18" spans="1:16" s="3" customFormat="1" ht="15.6" customHeight="1" x14ac:dyDescent="0.3">
      <c r="A18" s="142" t="s">
        <v>102</v>
      </c>
      <c r="B18" s="144"/>
      <c r="C18" s="68"/>
      <c r="D18" s="68"/>
      <c r="E18" s="67" t="s">
        <v>36</v>
      </c>
      <c r="F18" s="67"/>
      <c r="G18" s="68"/>
      <c r="H18" s="135" t="s">
        <v>77</v>
      </c>
      <c r="I18" s="136">
        <f>I14/2</f>
        <v>10</v>
      </c>
      <c r="J18" s="116">
        <f>K18*1.5</f>
        <v>3</v>
      </c>
      <c r="K18" s="116">
        <f t="shared" si="0"/>
        <v>2</v>
      </c>
      <c r="L18" s="68"/>
      <c r="M18" s="68"/>
      <c r="N18" s="68" t="s">
        <v>64</v>
      </c>
      <c r="O18" s="68"/>
      <c r="P18" s="113"/>
    </row>
    <row r="19" spans="1:16" s="3" customFormat="1" ht="15.6" customHeight="1" x14ac:dyDescent="0.3">
      <c r="A19" s="145"/>
      <c r="B19" s="94"/>
      <c r="C19" s="68"/>
      <c r="D19" s="68"/>
      <c r="E19" s="138" t="s">
        <v>22</v>
      </c>
      <c r="F19" s="138"/>
      <c r="G19" s="139"/>
      <c r="H19" s="140" t="s">
        <v>79</v>
      </c>
      <c r="I19" s="146" t="s">
        <v>154</v>
      </c>
      <c r="J19" s="146" t="s">
        <v>75</v>
      </c>
      <c r="K19" s="146"/>
      <c r="L19" s="68"/>
      <c r="M19" s="68"/>
      <c r="N19" s="68" t="s">
        <v>204</v>
      </c>
      <c r="O19" s="68"/>
      <c r="P19" s="113"/>
    </row>
    <row r="20" spans="1:16" s="3" customFormat="1" ht="15.6" customHeight="1" x14ac:dyDescent="0.3">
      <c r="A20" s="147" t="s">
        <v>254</v>
      </c>
      <c r="B20" s="91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148" t="s">
        <v>186</v>
      </c>
      <c r="O20" s="148"/>
      <c r="P20" s="149"/>
    </row>
    <row r="21" spans="1:16" s="3" customFormat="1" ht="15.6" customHeight="1" x14ac:dyDescent="0.3">
      <c r="A21" s="145" t="s">
        <v>255</v>
      </c>
      <c r="B21" s="96"/>
      <c r="C21" s="68"/>
      <c r="D21" s="68"/>
      <c r="E21" s="150" t="str">
        <f>'Cleric A'!E21</f>
        <v>Carica, Ritirata difensiva, Difesa totale</v>
      </c>
      <c r="F21" s="68"/>
      <c r="G21" s="68"/>
      <c r="H21" s="68"/>
      <c r="I21" s="68"/>
      <c r="J21" s="68"/>
      <c r="K21" s="68"/>
      <c r="L21" s="68"/>
      <c r="M21" s="68"/>
      <c r="N21" s="68"/>
      <c r="O21" s="151"/>
      <c r="P21" s="152"/>
    </row>
    <row r="22" spans="1:16" ht="15.6" customHeight="1" x14ac:dyDescent="0.3">
      <c r="A22" s="153" t="s">
        <v>256</v>
      </c>
      <c r="B22" s="92"/>
      <c r="C22" s="93"/>
      <c r="D22" s="93"/>
      <c r="E22" s="150" t="str">
        <f>'Cleric A'!E22</f>
        <v>Spinta, Disarmo, Parare (F), Colpo potente (F)</v>
      </c>
      <c r="F22" s="93"/>
      <c r="G22" s="93"/>
      <c r="H22" s="93"/>
      <c r="I22" s="93"/>
      <c r="J22" s="93"/>
      <c r="K22" s="93"/>
      <c r="L22" s="93"/>
      <c r="M22" s="93"/>
      <c r="N22" s="154"/>
      <c r="O22" s="154" t="s">
        <v>47</v>
      </c>
      <c r="P22" s="155">
        <v>8</v>
      </c>
    </row>
    <row r="23" spans="1:16" ht="15.6" customHeight="1" x14ac:dyDescent="0.3">
      <c r="A23" s="145" t="s">
        <v>257</v>
      </c>
      <c r="B23" s="96"/>
      <c r="C23" s="93"/>
      <c r="D23" s="93"/>
      <c r="E23" s="150" t="str">
        <f>'Cleric A'!E23</f>
        <v>Afferrrare, Liberarsi da presa, Azione Pronta</v>
      </c>
      <c r="F23" s="93"/>
      <c r="G23" s="93"/>
      <c r="H23" s="93"/>
      <c r="I23" s="93"/>
      <c r="J23" s="93"/>
      <c r="K23" s="93"/>
      <c r="L23" s="93"/>
      <c r="M23" s="67"/>
      <c r="N23" s="156"/>
      <c r="O23" s="96"/>
      <c r="P23" s="157"/>
    </row>
    <row r="24" spans="1:16" ht="15.6" customHeight="1" x14ac:dyDescent="0.3">
      <c r="A24" s="153" t="s">
        <v>258</v>
      </c>
      <c r="B24" s="92"/>
      <c r="C24" s="93"/>
      <c r="D24" s="93"/>
      <c r="E24" s="150" t="str">
        <f>'Cleric A'!E24</f>
        <v xml:space="preserve">Attraversare alleati ©, Passare posizione © , </v>
      </c>
      <c r="F24" s="93"/>
      <c r="G24" s="93"/>
      <c r="H24" s="93"/>
      <c r="I24" s="93"/>
      <c r="J24" s="93"/>
      <c r="K24" s="93"/>
      <c r="L24" s="93"/>
      <c r="M24" s="67"/>
      <c r="N24" s="90"/>
      <c r="O24" s="90" t="s">
        <v>248</v>
      </c>
      <c r="P24" s="158" t="s">
        <v>249</v>
      </c>
    </row>
    <row r="25" spans="1:16" ht="15.6" customHeight="1" x14ac:dyDescent="0.3">
      <c r="A25" s="145" t="s">
        <v>259</v>
      </c>
      <c r="B25" s="96"/>
      <c r="C25" s="159"/>
      <c r="D25" s="93"/>
      <c r="E25" s="150" t="str">
        <f>'Cleric A'!E25</f>
        <v>Azione pronta, Preparare per carica</v>
      </c>
      <c r="F25" s="93"/>
      <c r="G25" s="93"/>
      <c r="H25" s="93"/>
      <c r="I25" s="93"/>
      <c r="J25" s="93"/>
      <c r="K25" s="93"/>
      <c r="L25" s="93"/>
      <c r="M25" s="93"/>
      <c r="N25" s="160" t="s">
        <v>43</v>
      </c>
      <c r="O25" s="96"/>
      <c r="P25" s="161"/>
    </row>
    <row r="26" spans="1:16" ht="15.6" customHeight="1" x14ac:dyDescent="0.3">
      <c r="A26" s="153" t="s">
        <v>85</v>
      </c>
      <c r="B26" s="92"/>
      <c r="C26" s="159"/>
      <c r="D26" s="93"/>
      <c r="E26" s="150" t="str">
        <f>'Cleric A'!E26</f>
        <v>Prone: +2 TxC nemici, metà mov per alzarsi</v>
      </c>
      <c r="F26" s="93"/>
      <c r="G26" s="93"/>
      <c r="H26" s="93"/>
      <c r="I26" s="93"/>
      <c r="J26" s="93"/>
      <c r="K26" s="93"/>
      <c r="L26" s="93"/>
      <c r="M26" s="93"/>
      <c r="N26" s="160" t="s">
        <v>40</v>
      </c>
      <c r="O26" s="96"/>
      <c r="P26" s="161">
        <v>500</v>
      </c>
    </row>
    <row r="27" spans="1:16" ht="15.6" customHeight="1" x14ac:dyDescent="0.3">
      <c r="A27" s="162" t="s">
        <v>260</v>
      </c>
      <c r="B27" s="87"/>
      <c r="C27" s="93"/>
      <c r="D27" s="93"/>
      <c r="E27" s="150" t="str">
        <f>'Cleric A'!E27</f>
        <v>Copertura: Parziale -2 TxC | Totale -4 TxC</v>
      </c>
      <c r="F27" s="93"/>
      <c r="G27" s="93"/>
      <c r="H27" s="93"/>
      <c r="I27" s="93"/>
      <c r="J27" s="93"/>
      <c r="K27" s="93"/>
      <c r="L27" s="93"/>
      <c r="M27" s="93"/>
      <c r="N27" s="163" t="s">
        <v>44</v>
      </c>
      <c r="O27" s="96"/>
      <c r="P27" s="161"/>
    </row>
    <row r="28" spans="1:16" ht="15.6" customHeight="1" x14ac:dyDescent="0.3">
      <c r="A28" s="130"/>
      <c r="B28" s="93"/>
      <c r="C28" s="93"/>
      <c r="D28" s="93"/>
      <c r="E28" s="150" t="str">
        <f>'Cleric A'!E28</f>
        <v>Tiro oltre 1* alleato: -2 TxC, 1 Colpito Alleato</v>
      </c>
      <c r="F28" s="93"/>
      <c r="G28" s="93"/>
      <c r="H28" s="93"/>
      <c r="I28" s="93"/>
      <c r="J28" s="93"/>
      <c r="K28" s="93"/>
      <c r="L28" s="93"/>
      <c r="M28" s="93"/>
      <c r="N28" s="163" t="s">
        <v>41</v>
      </c>
      <c r="O28" s="96"/>
      <c r="P28" s="161"/>
    </row>
    <row r="29" spans="1:16" ht="15.6" customHeight="1" x14ac:dyDescent="0.3">
      <c r="A29" s="162"/>
      <c r="B29" s="87"/>
      <c r="C29" s="93"/>
      <c r="D29" s="93"/>
      <c r="E29" s="150" t="str">
        <f>'Cleric A'!E29</f>
        <v>Distanza:   corta +1, lunga -1</v>
      </c>
      <c r="F29" s="93"/>
      <c r="G29" s="93"/>
      <c r="H29" s="93"/>
      <c r="I29" s="93"/>
      <c r="J29" s="93"/>
      <c r="K29" s="93"/>
      <c r="L29" s="93"/>
      <c r="M29" s="93"/>
      <c r="N29" s="164"/>
      <c r="O29" s="154" t="s">
        <v>47</v>
      </c>
      <c r="P29" s="155">
        <v>5</v>
      </c>
    </row>
    <row r="30" spans="1:16" x14ac:dyDescent="0.3">
      <c r="A30" s="130"/>
      <c r="B30" s="93"/>
      <c r="C30" s="93"/>
      <c r="D30" s="93"/>
      <c r="E30" s="150" t="str">
        <f>'Cleric A'!E30</f>
        <v>Copertura vs area: Parz. +2 TS, Quasi tot. +4 TS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129"/>
    </row>
    <row r="31" spans="1:16" ht="15.6" customHeight="1" x14ac:dyDescent="0.3">
      <c r="A31" s="162"/>
      <c r="B31" s="87"/>
      <c r="C31" s="93"/>
      <c r="D31" s="93"/>
      <c r="E31" s="150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129"/>
    </row>
    <row r="32" spans="1:16" ht="15.6" customHeight="1" x14ac:dyDescent="0.3">
      <c r="A32" s="165"/>
      <c r="B32" s="166"/>
      <c r="C32" s="159"/>
      <c r="D32" s="93"/>
      <c r="E32" s="150"/>
      <c r="F32" s="93"/>
      <c r="G32" s="136"/>
      <c r="H32" s="93"/>
      <c r="I32" s="136"/>
      <c r="J32" s="93"/>
      <c r="K32" s="93"/>
      <c r="L32" s="93"/>
      <c r="M32" s="93"/>
      <c r="N32" s="75" t="s">
        <v>29</v>
      </c>
      <c r="O32" s="77"/>
      <c r="P32" s="124"/>
    </row>
    <row r="33" spans="1:27" ht="15.6" customHeight="1" x14ac:dyDescent="0.3">
      <c r="A33" s="167" t="s">
        <v>211</v>
      </c>
      <c r="B33" s="168"/>
      <c r="C33" s="159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 t="s">
        <v>59</v>
      </c>
      <c r="O33" s="93"/>
      <c r="P33" s="129"/>
    </row>
    <row r="34" spans="1:27" ht="15.6" customHeight="1" x14ac:dyDescent="0.3">
      <c r="A34" s="167" t="s">
        <v>209</v>
      </c>
      <c r="B34" s="168"/>
      <c r="C34" s="159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 t="s">
        <v>212</v>
      </c>
      <c r="O34" s="93"/>
      <c r="P34" s="129"/>
    </row>
    <row r="35" spans="1:27" x14ac:dyDescent="0.3">
      <c r="A35" s="167" t="s">
        <v>210</v>
      </c>
      <c r="B35" s="168"/>
      <c r="C35" s="159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 t="s">
        <v>60</v>
      </c>
      <c r="O35" s="93"/>
      <c r="P35" s="129"/>
    </row>
    <row r="36" spans="1:27" x14ac:dyDescent="0.3">
      <c r="A36" s="130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169" t="s">
        <v>213</v>
      </c>
      <c r="M36" s="93"/>
      <c r="N36" s="93"/>
      <c r="O36" s="93"/>
      <c r="P36" s="129"/>
    </row>
    <row r="37" spans="1:27" ht="15.6" x14ac:dyDescent="0.3">
      <c r="A37" s="170" t="s">
        <v>15</v>
      </c>
      <c r="B37" s="79" t="s">
        <v>19</v>
      </c>
      <c r="C37" s="81" t="s">
        <v>20</v>
      </c>
      <c r="D37" s="80">
        <v>8</v>
      </c>
      <c r="E37" s="81">
        <f>D37-1</f>
        <v>7</v>
      </c>
      <c r="F37" s="80">
        <f t="shared" ref="F37:L37" si="1">E37-1</f>
        <v>6</v>
      </c>
      <c r="G37" s="81">
        <f t="shared" si="1"/>
        <v>5</v>
      </c>
      <c r="H37" s="80">
        <f t="shared" si="1"/>
        <v>4</v>
      </c>
      <c r="I37" s="81">
        <f t="shared" si="1"/>
        <v>3</v>
      </c>
      <c r="J37" s="80">
        <f t="shared" si="1"/>
        <v>2</v>
      </c>
      <c r="K37" s="81">
        <f t="shared" si="1"/>
        <v>1</v>
      </c>
      <c r="L37" s="80">
        <f t="shared" si="1"/>
        <v>0</v>
      </c>
      <c r="M37" s="57" t="s">
        <v>26</v>
      </c>
      <c r="N37" s="57"/>
      <c r="O37" s="75" t="s">
        <v>27</v>
      </c>
      <c r="P37" s="124"/>
    </row>
    <row r="38" spans="1:27" ht="18" x14ac:dyDescent="0.3">
      <c r="A38" s="167" t="s">
        <v>206</v>
      </c>
      <c r="B38" s="116" t="s">
        <v>23</v>
      </c>
      <c r="C38" s="171">
        <v>7</v>
      </c>
      <c r="D38" s="172">
        <f>C38+1</f>
        <v>8</v>
      </c>
      <c r="E38" s="171">
        <f t="shared" ref="E38:L38" si="2">D38+1</f>
        <v>9</v>
      </c>
      <c r="F38" s="172">
        <f t="shared" si="2"/>
        <v>10</v>
      </c>
      <c r="G38" s="171">
        <f t="shared" si="2"/>
        <v>11</v>
      </c>
      <c r="H38" s="172">
        <f t="shared" si="2"/>
        <v>12</v>
      </c>
      <c r="I38" s="171">
        <f t="shared" si="2"/>
        <v>13</v>
      </c>
      <c r="J38" s="172">
        <f t="shared" si="2"/>
        <v>14</v>
      </c>
      <c r="K38" s="171">
        <f t="shared" si="2"/>
        <v>15</v>
      </c>
      <c r="L38" s="172">
        <f t="shared" si="2"/>
        <v>16</v>
      </c>
      <c r="M38" s="58" t="s">
        <v>207</v>
      </c>
      <c r="N38" s="58"/>
      <c r="O38" s="93"/>
      <c r="P38" s="129"/>
    </row>
    <row r="39" spans="1:27" ht="18" x14ac:dyDescent="0.3">
      <c r="A39" s="167" t="s">
        <v>24</v>
      </c>
      <c r="B39" s="116" t="s">
        <v>23</v>
      </c>
      <c r="C39" s="171">
        <v>7</v>
      </c>
      <c r="D39" s="172">
        <f t="shared" ref="D39:L40" si="3">C39+1</f>
        <v>8</v>
      </c>
      <c r="E39" s="171">
        <f t="shared" si="3"/>
        <v>9</v>
      </c>
      <c r="F39" s="172">
        <f t="shared" si="3"/>
        <v>10</v>
      </c>
      <c r="G39" s="171">
        <f t="shared" si="3"/>
        <v>11</v>
      </c>
      <c r="H39" s="172">
        <f t="shared" si="3"/>
        <v>12</v>
      </c>
      <c r="I39" s="171">
        <f t="shared" si="3"/>
        <v>13</v>
      </c>
      <c r="J39" s="172">
        <f t="shared" si="3"/>
        <v>14</v>
      </c>
      <c r="K39" s="171">
        <f t="shared" si="3"/>
        <v>15</v>
      </c>
      <c r="L39" s="172">
        <f t="shared" si="3"/>
        <v>16</v>
      </c>
      <c r="M39" s="173" t="s">
        <v>183</v>
      </c>
      <c r="N39" s="173"/>
      <c r="O39" s="68" t="s">
        <v>125</v>
      </c>
      <c r="P39" s="129"/>
      <c r="AA39"/>
    </row>
    <row r="40" spans="1:27" ht="18.600000000000001" thickBot="1" x14ac:dyDescent="0.35">
      <c r="A40" s="174" t="s">
        <v>58</v>
      </c>
      <c r="B40" s="175" t="s">
        <v>86</v>
      </c>
      <c r="C40" s="176">
        <v>6</v>
      </c>
      <c r="D40" s="177">
        <f t="shared" si="3"/>
        <v>7</v>
      </c>
      <c r="E40" s="176">
        <f t="shared" si="3"/>
        <v>8</v>
      </c>
      <c r="F40" s="177">
        <f t="shared" si="3"/>
        <v>9</v>
      </c>
      <c r="G40" s="176">
        <f t="shared" si="3"/>
        <v>10</v>
      </c>
      <c r="H40" s="177">
        <f t="shared" si="3"/>
        <v>11</v>
      </c>
      <c r="I40" s="176">
        <f t="shared" si="3"/>
        <v>12</v>
      </c>
      <c r="J40" s="177">
        <f t="shared" si="3"/>
        <v>13</v>
      </c>
      <c r="K40" s="176">
        <f t="shared" si="3"/>
        <v>14</v>
      </c>
      <c r="L40" s="177">
        <f t="shared" si="3"/>
        <v>15</v>
      </c>
      <c r="M40" s="178" t="s">
        <v>90</v>
      </c>
      <c r="N40" s="178"/>
      <c r="O40" s="179" t="s">
        <v>208</v>
      </c>
      <c r="P40" s="180"/>
    </row>
  </sheetData>
  <mergeCells count="17">
    <mergeCell ref="N20:P20"/>
    <mergeCell ref="M37:N37"/>
    <mergeCell ref="M38:N38"/>
    <mergeCell ref="M39:N39"/>
    <mergeCell ref="M40:N40"/>
    <mergeCell ref="C6:I6"/>
    <mergeCell ref="M6:O6"/>
    <mergeCell ref="C7:I7"/>
    <mergeCell ref="M7:O7"/>
    <mergeCell ref="C8:I8"/>
    <mergeCell ref="M8:O8"/>
    <mergeCell ref="C9:I9"/>
    <mergeCell ref="M9:O9"/>
    <mergeCell ref="C10:I10"/>
    <mergeCell ref="M10:O10"/>
    <mergeCell ref="C11:I11"/>
    <mergeCell ref="A14:B16"/>
  </mergeCells>
  <pageMargins left="0.19685039370078741" right="0.19685039370078741" top="0.3543307086614173" bottom="0.3543307086614173" header="0" footer="0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BED5-6492-4A4B-BB83-28F0C7345C12}">
  <dimension ref="A1:AA40"/>
  <sheetViews>
    <sheetView topLeftCell="A9" zoomScale="110" zoomScaleNormal="110" workbookViewId="0">
      <selection activeCell="J35" sqref="J35"/>
    </sheetView>
  </sheetViews>
  <sheetFormatPr defaultRowHeight="14.4" x14ac:dyDescent="0.3"/>
  <cols>
    <col min="1" max="2" width="11.109375" style="2" customWidth="1"/>
    <col min="3" max="13" width="4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97" t="s">
        <v>0</v>
      </c>
      <c r="B1" s="98" t="s">
        <v>188</v>
      </c>
      <c r="C1" s="98"/>
      <c r="D1" s="99"/>
      <c r="E1" s="100"/>
      <c r="F1" s="101"/>
      <c r="G1" s="102" t="s">
        <v>198</v>
      </c>
      <c r="H1" s="98"/>
      <c r="I1" s="101"/>
      <c r="J1" s="103"/>
      <c r="K1" s="104" t="s">
        <v>34</v>
      </c>
      <c r="L1" s="99"/>
      <c r="M1" s="99"/>
      <c r="N1" s="105" t="s">
        <v>190</v>
      </c>
      <c r="O1" s="98"/>
      <c r="P1" s="106"/>
    </row>
    <row r="2" spans="1:16" ht="20.399999999999999" customHeight="1" x14ac:dyDescent="0.3">
      <c r="A2" s="107" t="s">
        <v>100</v>
      </c>
      <c r="B2" s="83" t="s">
        <v>189</v>
      </c>
      <c r="C2" s="83"/>
      <c r="D2" s="108"/>
      <c r="E2" s="84" t="s">
        <v>33</v>
      </c>
      <c r="F2" s="85"/>
      <c r="G2" s="85" t="s">
        <v>189</v>
      </c>
      <c r="H2" s="85"/>
      <c r="I2" s="86" t="s">
        <v>135</v>
      </c>
      <c r="J2" s="108"/>
      <c r="K2" s="109" t="s">
        <v>1</v>
      </c>
      <c r="L2" s="110"/>
      <c r="M2" s="110"/>
      <c r="N2" s="83" t="s">
        <v>55</v>
      </c>
      <c r="O2" s="83"/>
      <c r="P2" s="111"/>
    </row>
    <row r="3" spans="1:16" ht="9.6" customHeight="1" x14ac:dyDescent="0.3">
      <c r="A3" s="112"/>
      <c r="B3" s="68"/>
      <c r="C3" s="68"/>
      <c r="D3" s="68"/>
      <c r="E3" s="68"/>
      <c r="F3" s="68"/>
      <c r="G3" s="68"/>
      <c r="H3" s="68"/>
      <c r="I3" s="93"/>
      <c r="J3" s="93"/>
      <c r="K3" s="68"/>
      <c r="L3" s="68"/>
      <c r="M3" s="68"/>
      <c r="N3" s="68"/>
      <c r="O3" s="68"/>
      <c r="P3" s="113"/>
    </row>
    <row r="4" spans="1:16" ht="18.600000000000001" customHeight="1" x14ac:dyDescent="0.3">
      <c r="A4" s="114" t="s">
        <v>8</v>
      </c>
      <c r="B4" s="115">
        <v>4</v>
      </c>
      <c r="C4" s="116"/>
      <c r="D4" s="117" t="s">
        <v>37</v>
      </c>
      <c r="E4" s="116"/>
      <c r="F4" s="118">
        <v>24</v>
      </c>
      <c r="G4" s="119" t="s">
        <v>117</v>
      </c>
      <c r="H4" s="116"/>
      <c r="I4" s="116"/>
      <c r="J4" s="116"/>
      <c r="K4" s="120" t="s">
        <v>99</v>
      </c>
      <c r="L4" s="116"/>
      <c r="M4" s="121">
        <v>0</v>
      </c>
      <c r="N4" s="116"/>
      <c r="O4" s="117" t="s">
        <v>9</v>
      </c>
      <c r="P4" s="122">
        <v>30</v>
      </c>
    </row>
    <row r="5" spans="1:16" ht="19.8" customHeight="1" x14ac:dyDescent="0.3">
      <c r="A5" s="123" t="s">
        <v>29</v>
      </c>
      <c r="B5" s="78"/>
      <c r="C5" s="93"/>
      <c r="D5" s="93"/>
      <c r="E5" s="93"/>
      <c r="F5" s="93"/>
      <c r="G5" s="93"/>
      <c r="H5" s="93"/>
      <c r="I5" s="93"/>
      <c r="J5" s="93" t="s">
        <v>98</v>
      </c>
      <c r="K5" s="93"/>
      <c r="L5" s="93"/>
      <c r="M5" s="78" t="s">
        <v>10</v>
      </c>
      <c r="N5" s="77"/>
      <c r="O5" s="77"/>
      <c r="P5" s="124"/>
    </row>
    <row r="6" spans="1:16" ht="32.4" customHeight="1" x14ac:dyDescent="0.3">
      <c r="A6" s="125">
        <v>16</v>
      </c>
      <c r="B6" s="120" t="s">
        <v>2</v>
      </c>
      <c r="C6" s="126" t="s">
        <v>122</v>
      </c>
      <c r="D6" s="126"/>
      <c r="E6" s="126"/>
      <c r="F6" s="126"/>
      <c r="G6" s="126"/>
      <c r="H6" s="126"/>
      <c r="I6" s="126"/>
      <c r="J6" s="118">
        <v>2</v>
      </c>
      <c r="K6" s="118"/>
      <c r="L6" s="93"/>
      <c r="M6" s="127" t="s">
        <v>56</v>
      </c>
      <c r="N6" s="127"/>
      <c r="O6" s="127"/>
      <c r="P6" s="128">
        <v>10</v>
      </c>
    </row>
    <row r="7" spans="1:16" ht="32.4" customHeight="1" x14ac:dyDescent="0.3">
      <c r="A7" s="125">
        <v>12</v>
      </c>
      <c r="B7" s="120" t="s">
        <v>3</v>
      </c>
      <c r="C7" s="126" t="s">
        <v>93</v>
      </c>
      <c r="D7" s="126"/>
      <c r="E7" s="126"/>
      <c r="F7" s="126"/>
      <c r="G7" s="126"/>
      <c r="H7" s="126"/>
      <c r="I7" s="126"/>
      <c r="J7" s="118">
        <v>0</v>
      </c>
      <c r="K7" s="118"/>
      <c r="L7" s="93"/>
      <c r="M7" s="127" t="s">
        <v>11</v>
      </c>
      <c r="N7" s="127"/>
      <c r="O7" s="127"/>
      <c r="P7" s="128">
        <v>11</v>
      </c>
    </row>
    <row r="8" spans="1:16" ht="32.4" customHeight="1" x14ac:dyDescent="0.3">
      <c r="A8" s="125">
        <v>13</v>
      </c>
      <c r="B8" s="120" t="s">
        <v>4</v>
      </c>
      <c r="C8" s="126" t="s">
        <v>137</v>
      </c>
      <c r="D8" s="126"/>
      <c r="E8" s="126"/>
      <c r="F8" s="126"/>
      <c r="G8" s="126"/>
      <c r="H8" s="126"/>
      <c r="I8" s="126"/>
      <c r="J8" s="118">
        <v>1</v>
      </c>
      <c r="K8" s="118"/>
      <c r="L8" s="93"/>
      <c r="M8" s="127" t="s">
        <v>14</v>
      </c>
      <c r="N8" s="127"/>
      <c r="O8" s="127"/>
      <c r="P8" s="128">
        <v>11</v>
      </c>
    </row>
    <row r="9" spans="1:16" ht="32.4" customHeight="1" x14ac:dyDescent="0.3">
      <c r="A9" s="125">
        <v>17</v>
      </c>
      <c r="B9" s="120" t="s">
        <v>5</v>
      </c>
      <c r="C9" s="126" t="s">
        <v>138</v>
      </c>
      <c r="D9" s="126"/>
      <c r="E9" s="126"/>
      <c r="F9" s="126"/>
      <c r="G9" s="126"/>
      <c r="H9" s="126"/>
      <c r="I9" s="126"/>
      <c r="J9" s="118">
        <v>2</v>
      </c>
      <c r="K9" s="118"/>
      <c r="L9" s="93"/>
      <c r="M9" s="127" t="s">
        <v>12</v>
      </c>
      <c r="N9" s="127"/>
      <c r="O9" s="127"/>
      <c r="P9" s="128">
        <v>13</v>
      </c>
    </row>
    <row r="10" spans="1:16" ht="32.4" customHeight="1" x14ac:dyDescent="0.3">
      <c r="A10" s="125">
        <v>11</v>
      </c>
      <c r="B10" s="120" t="s">
        <v>6</v>
      </c>
      <c r="C10" s="126" t="s">
        <v>93</v>
      </c>
      <c r="D10" s="126"/>
      <c r="E10" s="126"/>
      <c r="F10" s="126"/>
      <c r="G10" s="126"/>
      <c r="H10" s="126"/>
      <c r="I10" s="126"/>
      <c r="J10" s="118">
        <v>0</v>
      </c>
      <c r="K10" s="118"/>
      <c r="L10" s="93"/>
      <c r="M10" s="127" t="s">
        <v>13</v>
      </c>
      <c r="N10" s="127"/>
      <c r="O10" s="127"/>
      <c r="P10" s="128">
        <v>12</v>
      </c>
    </row>
    <row r="11" spans="1:16" ht="32.4" customHeight="1" x14ac:dyDescent="0.3">
      <c r="A11" s="125">
        <v>10</v>
      </c>
      <c r="B11" s="120" t="s">
        <v>7</v>
      </c>
      <c r="C11" s="126" t="s">
        <v>96</v>
      </c>
      <c r="D11" s="126"/>
      <c r="E11" s="126"/>
      <c r="F11" s="126"/>
      <c r="G11" s="126"/>
      <c r="H11" s="126"/>
      <c r="I11" s="126"/>
      <c r="J11" s="118">
        <v>0</v>
      </c>
      <c r="K11" s="118"/>
      <c r="L11" s="93"/>
      <c r="M11" s="93"/>
      <c r="N11" s="93"/>
      <c r="O11" s="93"/>
      <c r="P11" s="129"/>
    </row>
    <row r="12" spans="1:16" ht="8.4" customHeight="1" x14ac:dyDescent="0.3">
      <c r="A12" s="130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129"/>
    </row>
    <row r="13" spans="1:16" s="3" customFormat="1" ht="15.6" customHeight="1" x14ac:dyDescent="0.3">
      <c r="A13" s="131" t="s">
        <v>16</v>
      </c>
      <c r="B13" s="75"/>
      <c r="C13" s="67"/>
      <c r="D13" s="68"/>
      <c r="E13" s="75" t="s">
        <v>17</v>
      </c>
      <c r="F13" s="75"/>
      <c r="G13" s="75"/>
      <c r="H13" s="67"/>
      <c r="I13" s="132" t="s">
        <v>72</v>
      </c>
      <c r="J13" s="132" t="s">
        <v>73</v>
      </c>
      <c r="K13" s="132" t="s">
        <v>74</v>
      </c>
      <c r="L13" s="68"/>
      <c r="M13" s="68"/>
      <c r="N13" s="75" t="s">
        <v>61</v>
      </c>
      <c r="O13" s="76"/>
      <c r="P13" s="133"/>
    </row>
    <row r="14" spans="1:16" s="3" customFormat="1" ht="15.6" customHeight="1" x14ac:dyDescent="0.3">
      <c r="A14" s="134" t="s">
        <v>179</v>
      </c>
      <c r="B14" s="73"/>
      <c r="C14" s="68"/>
      <c r="D14" s="68"/>
      <c r="E14" s="67" t="s">
        <v>21</v>
      </c>
      <c r="F14" s="67"/>
      <c r="G14" s="68"/>
      <c r="H14" s="135" t="s">
        <v>77</v>
      </c>
      <c r="I14" s="136">
        <v>30</v>
      </c>
      <c r="J14" s="116">
        <f>K14*1.5</f>
        <v>9</v>
      </c>
      <c r="K14" s="116">
        <f>I14/5</f>
        <v>6</v>
      </c>
      <c r="L14" s="68"/>
      <c r="M14" s="68"/>
      <c r="N14" s="68" t="s">
        <v>197</v>
      </c>
      <c r="O14" s="68"/>
      <c r="P14" s="113"/>
    </row>
    <row r="15" spans="1:16" s="3" customFormat="1" ht="15.6" customHeight="1" x14ac:dyDescent="0.3">
      <c r="A15" s="137"/>
      <c r="B15" s="74"/>
      <c r="C15" s="68"/>
      <c r="D15" s="68"/>
      <c r="E15" s="138" t="s">
        <v>38</v>
      </c>
      <c r="F15" s="138"/>
      <c r="G15" s="139"/>
      <c r="H15" s="140" t="s">
        <v>78</v>
      </c>
      <c r="I15" s="141">
        <f>I14*3</f>
        <v>90</v>
      </c>
      <c r="J15" s="141">
        <f>K15*1.5</f>
        <v>27</v>
      </c>
      <c r="K15" s="141">
        <f t="shared" ref="K15:K18" si="0">I15/5</f>
        <v>18</v>
      </c>
      <c r="L15" s="68"/>
      <c r="M15" s="68"/>
      <c r="N15" s="68" t="s">
        <v>143</v>
      </c>
      <c r="O15" s="68"/>
      <c r="P15" s="113"/>
    </row>
    <row r="16" spans="1:16" s="3" customFormat="1" ht="15.6" customHeight="1" x14ac:dyDescent="0.3">
      <c r="A16" s="137"/>
      <c r="B16" s="74"/>
      <c r="C16" s="68"/>
      <c r="D16" s="68"/>
      <c r="E16" s="67" t="s">
        <v>18</v>
      </c>
      <c r="F16" s="67"/>
      <c r="G16" s="68"/>
      <c r="H16" s="135" t="s">
        <v>77</v>
      </c>
      <c r="I16" s="136">
        <f>I14*3</f>
        <v>90</v>
      </c>
      <c r="J16" s="116">
        <f>K16*1.5</f>
        <v>27</v>
      </c>
      <c r="K16" s="116">
        <f t="shared" si="0"/>
        <v>18</v>
      </c>
      <c r="L16" s="68"/>
      <c r="M16" s="68"/>
      <c r="N16" s="68" t="s">
        <v>161</v>
      </c>
      <c r="O16" s="68"/>
      <c r="P16" s="113"/>
    </row>
    <row r="17" spans="1:16" s="3" customFormat="1" ht="15.6" customHeight="1" x14ac:dyDescent="0.3">
      <c r="A17" s="142" t="s">
        <v>214</v>
      </c>
      <c r="B17" s="143"/>
      <c r="C17" s="68"/>
      <c r="D17" s="68"/>
      <c r="E17" s="138" t="s">
        <v>35</v>
      </c>
      <c r="F17" s="138"/>
      <c r="G17" s="139"/>
      <c r="H17" s="140" t="s">
        <v>77</v>
      </c>
      <c r="I17" s="141">
        <f>I14/2</f>
        <v>15</v>
      </c>
      <c r="J17" s="141">
        <f>K17*1.5</f>
        <v>4.5</v>
      </c>
      <c r="K17" s="141">
        <f t="shared" si="0"/>
        <v>3</v>
      </c>
      <c r="L17" s="68"/>
      <c r="M17" s="68"/>
      <c r="N17" s="68" t="s">
        <v>120</v>
      </c>
      <c r="O17" s="68"/>
      <c r="P17" s="113"/>
    </row>
    <row r="18" spans="1:16" s="3" customFormat="1" ht="15.6" customHeight="1" x14ac:dyDescent="0.3">
      <c r="A18" s="142" t="s">
        <v>102</v>
      </c>
      <c r="B18" s="144"/>
      <c r="C18" s="68"/>
      <c r="D18" s="68"/>
      <c r="E18" s="67" t="s">
        <v>36</v>
      </c>
      <c r="F18" s="67"/>
      <c r="G18" s="68"/>
      <c r="H18" s="135" t="s">
        <v>77</v>
      </c>
      <c r="I18" s="136">
        <f>I14/2</f>
        <v>15</v>
      </c>
      <c r="J18" s="116">
        <f>K18*1.5</f>
        <v>4.5</v>
      </c>
      <c r="K18" s="116">
        <f t="shared" si="0"/>
        <v>3</v>
      </c>
      <c r="L18" s="68"/>
      <c r="M18" s="68"/>
      <c r="N18" s="68" t="s">
        <v>65</v>
      </c>
      <c r="O18" s="68"/>
      <c r="P18" s="113"/>
    </row>
    <row r="19" spans="1:16" s="3" customFormat="1" ht="15.6" customHeight="1" x14ac:dyDescent="0.3">
      <c r="A19" s="145"/>
      <c r="B19" s="94"/>
      <c r="C19" s="68"/>
      <c r="D19" s="68"/>
      <c r="E19" s="138" t="s">
        <v>22</v>
      </c>
      <c r="F19" s="138"/>
      <c r="G19" s="139"/>
      <c r="H19" s="140" t="s">
        <v>79</v>
      </c>
      <c r="I19" s="146" t="s">
        <v>200</v>
      </c>
      <c r="J19" s="146" t="s">
        <v>201</v>
      </c>
      <c r="K19" s="146"/>
      <c r="L19" s="68"/>
      <c r="M19" s="68"/>
      <c r="N19" s="68" t="s">
        <v>144</v>
      </c>
      <c r="O19" s="68"/>
      <c r="P19" s="113"/>
    </row>
    <row r="20" spans="1:16" s="3" customFormat="1" ht="15.6" customHeight="1" x14ac:dyDescent="0.3">
      <c r="A20" s="147" t="s">
        <v>254</v>
      </c>
      <c r="B20" s="91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148" t="s">
        <v>127</v>
      </c>
      <c r="O20" s="148"/>
      <c r="P20" s="149"/>
    </row>
    <row r="21" spans="1:16" s="3" customFormat="1" ht="15.6" customHeight="1" x14ac:dyDescent="0.3">
      <c r="A21" s="145" t="s">
        <v>255</v>
      </c>
      <c r="B21" s="96"/>
      <c r="C21" s="68"/>
      <c r="D21" s="68"/>
      <c r="E21" s="150" t="str">
        <f>'Cleric A'!E21</f>
        <v>Carica, Ritirata difensiva, Difesa totale</v>
      </c>
      <c r="F21" s="68"/>
      <c r="G21" s="68"/>
      <c r="H21" s="68"/>
      <c r="I21" s="68"/>
      <c r="J21" s="68"/>
      <c r="K21" s="68"/>
      <c r="L21" s="68"/>
      <c r="M21" s="68"/>
      <c r="N21" s="68" t="s">
        <v>186</v>
      </c>
      <c r="O21" s="68"/>
      <c r="P21" s="152"/>
    </row>
    <row r="22" spans="1:16" ht="15.6" customHeight="1" x14ac:dyDescent="0.3">
      <c r="A22" s="153" t="s">
        <v>256</v>
      </c>
      <c r="B22" s="92"/>
      <c r="C22" s="93"/>
      <c r="D22" s="93"/>
      <c r="E22" s="150" t="str">
        <f>'Cleric A'!E22</f>
        <v>Spinta, Disarmo, Parare (F), Colpo potente (F)</v>
      </c>
      <c r="F22" s="68"/>
      <c r="G22" s="93"/>
      <c r="H22" s="93"/>
      <c r="I22" s="93"/>
      <c r="J22" s="93"/>
      <c r="K22" s="93"/>
      <c r="L22" s="93"/>
      <c r="M22" s="93"/>
      <c r="N22" s="154"/>
      <c r="O22" s="154" t="s">
        <v>47</v>
      </c>
      <c r="P22" s="155">
        <v>12</v>
      </c>
    </row>
    <row r="23" spans="1:16" ht="15.6" customHeight="1" x14ac:dyDescent="0.3">
      <c r="A23" s="145" t="s">
        <v>257</v>
      </c>
      <c r="B23" s="96"/>
      <c r="C23" s="93"/>
      <c r="D23" s="93"/>
      <c r="E23" s="150" t="str">
        <f>'Cleric A'!E23</f>
        <v>Afferrrare, Liberarsi da presa, Azione Pronta</v>
      </c>
      <c r="F23" s="93"/>
      <c r="G23" s="93"/>
      <c r="H23" s="93"/>
      <c r="I23" s="93"/>
      <c r="J23" s="93"/>
      <c r="K23" s="93"/>
      <c r="L23" s="93"/>
      <c r="M23" s="67"/>
      <c r="N23" s="156"/>
      <c r="O23" s="96"/>
      <c r="P23" s="157"/>
    </row>
    <row r="24" spans="1:16" ht="15.6" customHeight="1" x14ac:dyDescent="0.3">
      <c r="A24" s="153" t="s">
        <v>258</v>
      </c>
      <c r="B24" s="92"/>
      <c r="C24" s="93"/>
      <c r="D24" s="93"/>
      <c r="E24" s="150" t="str">
        <f>'Cleric A'!E24</f>
        <v xml:space="preserve">Attraversare alleati ©, Passare posizione © , </v>
      </c>
      <c r="F24" s="93"/>
      <c r="G24" s="93"/>
      <c r="H24" s="93"/>
      <c r="I24" s="93"/>
      <c r="J24" s="93"/>
      <c r="K24" s="93"/>
      <c r="L24" s="93"/>
      <c r="M24" s="67"/>
      <c r="N24" s="90"/>
      <c r="O24" s="90" t="s">
        <v>248</v>
      </c>
      <c r="P24" s="158" t="s">
        <v>249</v>
      </c>
    </row>
    <row r="25" spans="1:16" ht="15.6" customHeight="1" x14ac:dyDescent="0.3">
      <c r="A25" s="145" t="s">
        <v>259</v>
      </c>
      <c r="B25" s="96"/>
      <c r="C25" s="93"/>
      <c r="D25" s="93"/>
      <c r="E25" s="150" t="str">
        <f>'Cleric A'!E25</f>
        <v>Azione pronta, Preparare per carica</v>
      </c>
      <c r="F25" s="93"/>
      <c r="G25" s="93"/>
      <c r="H25" s="93"/>
      <c r="I25" s="93"/>
      <c r="J25" s="93"/>
      <c r="K25" s="93"/>
      <c r="L25" s="93"/>
      <c r="M25" s="93"/>
      <c r="N25" s="160" t="s">
        <v>43</v>
      </c>
      <c r="O25" s="96"/>
      <c r="P25" s="161"/>
    </row>
    <row r="26" spans="1:16" ht="15.6" customHeight="1" x14ac:dyDescent="0.3">
      <c r="A26" s="153" t="s">
        <v>85</v>
      </c>
      <c r="B26" s="92"/>
      <c r="C26" s="93"/>
      <c r="D26" s="93"/>
      <c r="E26" s="150" t="str">
        <f>'Cleric A'!E26</f>
        <v>Prone: +2 TxC nemici, metà mov per alzarsi</v>
      </c>
      <c r="F26" s="93"/>
      <c r="G26" s="93"/>
      <c r="H26" s="93"/>
      <c r="I26" s="93"/>
      <c r="J26" s="93"/>
      <c r="K26" s="93"/>
      <c r="L26" s="93"/>
      <c r="M26" s="93"/>
      <c r="N26" s="160" t="s">
        <v>40</v>
      </c>
      <c r="O26" s="96"/>
      <c r="P26" s="161">
        <v>500</v>
      </c>
    </row>
    <row r="27" spans="1:16" ht="15.6" customHeight="1" x14ac:dyDescent="0.3">
      <c r="A27" s="162" t="s">
        <v>260</v>
      </c>
      <c r="B27" s="87"/>
      <c r="C27" s="93"/>
      <c r="D27" s="93"/>
      <c r="E27" s="150" t="str">
        <f>'Cleric A'!E27</f>
        <v>Copertura: Parziale -2 TxC | Totale -4 TxC</v>
      </c>
      <c r="F27" s="93"/>
      <c r="G27" s="93"/>
      <c r="H27" s="93"/>
      <c r="I27" s="93"/>
      <c r="J27" s="93"/>
      <c r="K27" s="93"/>
      <c r="L27" s="93"/>
      <c r="M27" s="93"/>
      <c r="N27" s="160" t="s">
        <v>44</v>
      </c>
      <c r="O27" s="96"/>
      <c r="P27" s="161"/>
    </row>
    <row r="28" spans="1:16" ht="15.6" customHeight="1" x14ac:dyDescent="0.3">
      <c r="A28" s="130"/>
      <c r="B28" s="93"/>
      <c r="C28" s="93"/>
      <c r="D28" s="93"/>
      <c r="E28" s="150" t="str">
        <f>'Cleric A'!E28</f>
        <v>Tiro oltre 1* alleato: -2 TxC, 1 Colpito Alleato</v>
      </c>
      <c r="F28" s="93"/>
      <c r="G28" s="93"/>
      <c r="H28" s="93"/>
      <c r="I28" s="93"/>
      <c r="J28" s="93"/>
      <c r="K28" s="93"/>
      <c r="L28" s="93"/>
      <c r="M28" s="93"/>
      <c r="N28" s="160" t="s">
        <v>41</v>
      </c>
      <c r="O28" s="96"/>
      <c r="P28" s="161"/>
    </row>
    <row r="29" spans="1:16" ht="15.6" customHeight="1" x14ac:dyDescent="0.3">
      <c r="A29" s="162"/>
      <c r="B29" s="87"/>
      <c r="C29" s="93"/>
      <c r="D29" s="93"/>
      <c r="E29" s="150" t="str">
        <f>'Cleric A'!E29</f>
        <v>Distanza:   corta +1, lunga -1</v>
      </c>
      <c r="F29" s="93"/>
      <c r="G29" s="93"/>
      <c r="H29" s="93"/>
      <c r="I29" s="93"/>
      <c r="J29" s="93"/>
      <c r="K29" s="93"/>
      <c r="L29" s="93"/>
      <c r="M29" s="93"/>
      <c r="N29" s="164"/>
      <c r="O29" s="154" t="s">
        <v>47</v>
      </c>
      <c r="P29" s="155">
        <v>5</v>
      </c>
    </row>
    <row r="30" spans="1:16" x14ac:dyDescent="0.3">
      <c r="A30" s="130"/>
      <c r="B30" s="93"/>
      <c r="C30" s="93"/>
      <c r="D30" s="93"/>
      <c r="E30" s="150" t="str">
        <f>'Cleric A'!E30</f>
        <v>Copertura vs area: Parz. +2 TS, Quasi tot. +4 TS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129"/>
    </row>
    <row r="31" spans="1:16" ht="15.6" customHeight="1" x14ac:dyDescent="0.3">
      <c r="A31" s="131" t="s">
        <v>42</v>
      </c>
      <c r="B31" s="75"/>
      <c r="C31" s="82" t="s">
        <v>104</v>
      </c>
      <c r="D31" s="77"/>
      <c r="E31" s="82" t="s">
        <v>105</v>
      </c>
      <c r="F31" s="77"/>
      <c r="G31" s="82" t="s">
        <v>106</v>
      </c>
      <c r="H31" s="77"/>
      <c r="I31" s="82"/>
      <c r="J31" s="77"/>
      <c r="K31" s="77"/>
      <c r="L31" s="93"/>
      <c r="M31" s="93"/>
      <c r="N31" s="75" t="s">
        <v>29</v>
      </c>
      <c r="O31" s="77"/>
      <c r="P31" s="124"/>
    </row>
    <row r="32" spans="1:16" x14ac:dyDescent="0.3">
      <c r="A32" s="181" t="s">
        <v>30</v>
      </c>
      <c r="B32" s="93" t="s">
        <v>195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 t="s">
        <v>191</v>
      </c>
      <c r="O32" s="93"/>
      <c r="P32" s="129"/>
    </row>
    <row r="33" spans="1:27" x14ac:dyDescent="0.3">
      <c r="A33" s="181" t="s">
        <v>31</v>
      </c>
      <c r="B33" s="93" t="s">
        <v>196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 t="s">
        <v>32</v>
      </c>
      <c r="O33" s="93"/>
      <c r="P33" s="129"/>
    </row>
    <row r="34" spans="1:27" x14ac:dyDescent="0.3">
      <c r="A34" s="181" t="s">
        <v>39</v>
      </c>
      <c r="B34" s="93" t="s">
        <v>194</v>
      </c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 t="s">
        <v>199</v>
      </c>
      <c r="O34" s="93"/>
      <c r="P34" s="129"/>
    </row>
    <row r="35" spans="1:27" x14ac:dyDescent="0.3">
      <c r="A35" s="130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 t="s">
        <v>192</v>
      </c>
      <c r="O35" s="93"/>
      <c r="P35" s="129"/>
    </row>
    <row r="36" spans="1:27" x14ac:dyDescent="0.3">
      <c r="A36" s="130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169" t="s">
        <v>213</v>
      </c>
      <c r="M36" s="93"/>
      <c r="N36" s="93"/>
      <c r="O36" s="93"/>
      <c r="P36" s="129"/>
    </row>
    <row r="37" spans="1:27" ht="15.6" x14ac:dyDescent="0.3">
      <c r="A37" s="170" t="s">
        <v>15</v>
      </c>
      <c r="B37" s="79" t="s">
        <v>19</v>
      </c>
      <c r="C37" s="81" t="s">
        <v>20</v>
      </c>
      <c r="D37" s="80">
        <v>8</v>
      </c>
      <c r="E37" s="81">
        <f>D37-1</f>
        <v>7</v>
      </c>
      <c r="F37" s="80">
        <f t="shared" ref="F37:L37" si="1">E37-1</f>
        <v>6</v>
      </c>
      <c r="G37" s="81">
        <f t="shared" si="1"/>
        <v>5</v>
      </c>
      <c r="H37" s="80">
        <f t="shared" si="1"/>
        <v>4</v>
      </c>
      <c r="I37" s="81">
        <f t="shared" si="1"/>
        <v>3</v>
      </c>
      <c r="J37" s="80">
        <f t="shared" si="1"/>
        <v>2</v>
      </c>
      <c r="K37" s="81">
        <f t="shared" si="1"/>
        <v>1</v>
      </c>
      <c r="L37" s="80">
        <f t="shared" si="1"/>
        <v>0</v>
      </c>
      <c r="M37" s="57" t="s">
        <v>26</v>
      </c>
      <c r="N37" s="57"/>
      <c r="O37" s="75" t="s">
        <v>27</v>
      </c>
      <c r="P37" s="124"/>
    </row>
    <row r="38" spans="1:27" ht="18" x14ac:dyDescent="0.3">
      <c r="A38" s="167" t="s">
        <v>155</v>
      </c>
      <c r="B38" s="116" t="s">
        <v>23</v>
      </c>
      <c r="C38" s="171">
        <v>6</v>
      </c>
      <c r="D38" s="172">
        <f>C38+1</f>
        <v>7</v>
      </c>
      <c r="E38" s="171">
        <f t="shared" ref="E38:L38" si="2">D38+1</f>
        <v>8</v>
      </c>
      <c r="F38" s="172">
        <f t="shared" si="2"/>
        <v>9</v>
      </c>
      <c r="G38" s="171">
        <f t="shared" si="2"/>
        <v>10</v>
      </c>
      <c r="H38" s="172">
        <f t="shared" si="2"/>
        <v>11</v>
      </c>
      <c r="I38" s="171">
        <f t="shared" si="2"/>
        <v>12</v>
      </c>
      <c r="J38" s="172">
        <f t="shared" si="2"/>
        <v>13</v>
      </c>
      <c r="K38" s="171">
        <f t="shared" si="2"/>
        <v>14</v>
      </c>
      <c r="L38" s="172">
        <f t="shared" si="2"/>
        <v>15</v>
      </c>
      <c r="M38" s="58" t="s">
        <v>193</v>
      </c>
      <c r="N38" s="58"/>
      <c r="O38" s="93"/>
      <c r="P38" s="129"/>
    </row>
    <row r="39" spans="1:27" ht="18" x14ac:dyDescent="0.3">
      <c r="A39" s="167" t="s">
        <v>24</v>
      </c>
      <c r="B39" s="116" t="s">
        <v>23</v>
      </c>
      <c r="C39" s="171">
        <v>6</v>
      </c>
      <c r="D39" s="172">
        <f t="shared" ref="D39:L40" si="3">C39+1</f>
        <v>7</v>
      </c>
      <c r="E39" s="171">
        <f t="shared" si="3"/>
        <v>8</v>
      </c>
      <c r="F39" s="172">
        <f t="shared" si="3"/>
        <v>9</v>
      </c>
      <c r="G39" s="171">
        <f t="shared" si="3"/>
        <v>10</v>
      </c>
      <c r="H39" s="172">
        <f t="shared" si="3"/>
        <v>11</v>
      </c>
      <c r="I39" s="171">
        <f t="shared" si="3"/>
        <v>12</v>
      </c>
      <c r="J39" s="172">
        <f t="shared" si="3"/>
        <v>13</v>
      </c>
      <c r="K39" s="171">
        <f t="shared" si="3"/>
        <v>14</v>
      </c>
      <c r="L39" s="172">
        <f t="shared" si="3"/>
        <v>15</v>
      </c>
      <c r="M39" s="173" t="s">
        <v>115</v>
      </c>
      <c r="N39" s="173"/>
      <c r="O39" s="68"/>
      <c r="P39" s="129"/>
      <c r="AA39"/>
    </row>
    <row r="40" spans="1:27" ht="18.600000000000001" thickBot="1" x14ac:dyDescent="0.35">
      <c r="A40" s="174" t="s">
        <v>25</v>
      </c>
      <c r="B40" s="175" t="s">
        <v>116</v>
      </c>
      <c r="C40" s="176">
        <v>8</v>
      </c>
      <c r="D40" s="177">
        <f t="shared" si="3"/>
        <v>9</v>
      </c>
      <c r="E40" s="176">
        <f t="shared" si="3"/>
        <v>10</v>
      </c>
      <c r="F40" s="177">
        <f t="shared" si="3"/>
        <v>11</v>
      </c>
      <c r="G40" s="176">
        <f t="shared" si="3"/>
        <v>12</v>
      </c>
      <c r="H40" s="177">
        <f t="shared" si="3"/>
        <v>13</v>
      </c>
      <c r="I40" s="176">
        <f t="shared" si="3"/>
        <v>14</v>
      </c>
      <c r="J40" s="177">
        <f t="shared" si="3"/>
        <v>15</v>
      </c>
      <c r="K40" s="176">
        <f t="shared" si="3"/>
        <v>16</v>
      </c>
      <c r="L40" s="177">
        <f t="shared" si="3"/>
        <v>17</v>
      </c>
      <c r="M40" s="178" t="s">
        <v>28</v>
      </c>
      <c r="N40" s="178"/>
      <c r="O40" s="179"/>
      <c r="P40" s="180"/>
    </row>
  </sheetData>
  <mergeCells count="17">
    <mergeCell ref="N20:P20"/>
    <mergeCell ref="M37:N37"/>
    <mergeCell ref="M38:N38"/>
    <mergeCell ref="M39:N39"/>
    <mergeCell ref="M40:N40"/>
    <mergeCell ref="C6:I6"/>
    <mergeCell ref="M6:O6"/>
    <mergeCell ref="C7:I7"/>
    <mergeCell ref="M7:O7"/>
    <mergeCell ref="C8:I8"/>
    <mergeCell ref="M8:O8"/>
    <mergeCell ref="C9:I9"/>
    <mergeCell ref="M9:O9"/>
    <mergeCell ref="C10:I10"/>
    <mergeCell ref="M10:O10"/>
    <mergeCell ref="C11:I11"/>
    <mergeCell ref="A14:B16"/>
  </mergeCells>
  <pageMargins left="0.19685039370078741" right="0.19685039370078741" top="0.3543307086614173" bottom="0.3543307086614173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2626-440A-421A-816A-4B07BD0E71A6}">
  <dimension ref="A1:AA40"/>
  <sheetViews>
    <sheetView topLeftCell="A7" zoomScale="110" zoomScaleNormal="110" workbookViewId="0">
      <selection activeCell="E29" sqref="E29:E30"/>
    </sheetView>
  </sheetViews>
  <sheetFormatPr defaultRowHeight="14.4" x14ac:dyDescent="0.3"/>
  <cols>
    <col min="1" max="2" width="11.109375" style="2" customWidth="1"/>
    <col min="3" max="13" width="4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97" t="s">
        <v>0</v>
      </c>
      <c r="B1" s="98" t="s">
        <v>173</v>
      </c>
      <c r="C1" s="98"/>
      <c r="D1" s="99"/>
      <c r="E1" s="100"/>
      <c r="F1" s="101"/>
      <c r="G1" s="102" t="s">
        <v>187</v>
      </c>
      <c r="H1" s="98"/>
      <c r="I1" s="101"/>
      <c r="J1" s="103"/>
      <c r="K1" s="104" t="s">
        <v>34</v>
      </c>
      <c r="L1" s="99"/>
      <c r="M1" s="99"/>
      <c r="N1" s="105" t="s">
        <v>101</v>
      </c>
      <c r="O1" s="98"/>
      <c r="P1" s="106"/>
    </row>
    <row r="2" spans="1:16" ht="20.399999999999999" customHeight="1" x14ac:dyDescent="0.3">
      <c r="A2" s="107" t="s">
        <v>100</v>
      </c>
      <c r="B2" s="83" t="s">
        <v>174</v>
      </c>
      <c r="C2" s="83"/>
      <c r="D2" s="108"/>
      <c r="E2" s="84" t="s">
        <v>33</v>
      </c>
      <c r="F2" s="85"/>
      <c r="G2" s="85" t="s">
        <v>174</v>
      </c>
      <c r="H2" s="85"/>
      <c r="I2" s="86" t="s">
        <v>135</v>
      </c>
      <c r="J2" s="108"/>
      <c r="K2" s="109" t="s">
        <v>1</v>
      </c>
      <c r="L2" s="110"/>
      <c r="M2" s="110"/>
      <c r="N2" s="83" t="s">
        <v>55</v>
      </c>
      <c r="O2" s="83"/>
      <c r="P2" s="111"/>
    </row>
    <row r="3" spans="1:16" ht="9.6" customHeight="1" x14ac:dyDescent="0.3">
      <c r="A3" s="112"/>
      <c r="B3" s="68"/>
      <c r="C3" s="68"/>
      <c r="D3" s="68"/>
      <c r="E3" s="68"/>
      <c r="F3" s="68"/>
      <c r="G3" s="68"/>
      <c r="H3" s="68"/>
      <c r="I3" s="93"/>
      <c r="J3" s="93"/>
      <c r="K3" s="68"/>
      <c r="L3" s="68"/>
      <c r="M3" s="68"/>
      <c r="N3" s="68"/>
      <c r="O3" s="68"/>
      <c r="P3" s="113"/>
    </row>
    <row r="4" spans="1:16" ht="18.600000000000001" customHeight="1" x14ac:dyDescent="0.3">
      <c r="A4" s="114" t="s">
        <v>8</v>
      </c>
      <c r="B4" s="115">
        <v>2</v>
      </c>
      <c r="C4" s="116"/>
      <c r="D4" s="117" t="s">
        <v>37</v>
      </c>
      <c r="E4" s="116"/>
      <c r="F4" s="118">
        <v>22</v>
      </c>
      <c r="G4" s="119" t="s">
        <v>175</v>
      </c>
      <c r="H4" s="116"/>
      <c r="I4" s="116"/>
      <c r="J4" s="116"/>
      <c r="K4" s="120" t="s">
        <v>99</v>
      </c>
      <c r="L4" s="116"/>
      <c r="M4" s="121">
        <v>0</v>
      </c>
      <c r="N4" s="116"/>
      <c r="O4" s="117" t="s">
        <v>9</v>
      </c>
      <c r="P4" s="122">
        <v>44</v>
      </c>
    </row>
    <row r="5" spans="1:16" ht="19.8" customHeight="1" x14ac:dyDescent="0.3">
      <c r="A5" s="123" t="s">
        <v>29</v>
      </c>
      <c r="B5" s="78"/>
      <c r="C5" s="93"/>
      <c r="D5" s="93"/>
      <c r="E5" s="93"/>
      <c r="F5" s="93"/>
      <c r="G5" s="93"/>
      <c r="H5" s="93"/>
      <c r="I5" s="93"/>
      <c r="J5" s="93" t="s">
        <v>98</v>
      </c>
      <c r="K5" s="93"/>
      <c r="L5" s="93"/>
      <c r="M5" s="78" t="s">
        <v>10</v>
      </c>
      <c r="N5" s="77"/>
      <c r="O5" s="77"/>
      <c r="P5" s="124"/>
    </row>
    <row r="6" spans="1:16" ht="32.4" customHeight="1" x14ac:dyDescent="0.3">
      <c r="A6" s="125">
        <v>13</v>
      </c>
      <c r="B6" s="120" t="s">
        <v>2</v>
      </c>
      <c r="C6" s="126" t="s">
        <v>176</v>
      </c>
      <c r="D6" s="126"/>
      <c r="E6" s="126"/>
      <c r="F6" s="126"/>
      <c r="G6" s="126"/>
      <c r="H6" s="126"/>
      <c r="I6" s="126"/>
      <c r="J6" s="118">
        <v>1</v>
      </c>
      <c r="K6" s="118"/>
      <c r="L6" s="93"/>
      <c r="M6" s="127" t="s">
        <v>56</v>
      </c>
      <c r="N6" s="127"/>
      <c r="O6" s="127"/>
      <c r="P6" s="128">
        <v>6</v>
      </c>
    </row>
    <row r="7" spans="1:16" ht="32.4" customHeight="1" x14ac:dyDescent="0.3">
      <c r="A7" s="125">
        <v>10</v>
      </c>
      <c r="B7" s="120" t="s">
        <v>3</v>
      </c>
      <c r="C7" s="126" t="s">
        <v>93</v>
      </c>
      <c r="D7" s="126"/>
      <c r="E7" s="126"/>
      <c r="F7" s="126"/>
      <c r="G7" s="126"/>
      <c r="H7" s="126"/>
      <c r="I7" s="126"/>
      <c r="J7" s="118">
        <v>0</v>
      </c>
      <c r="K7" s="118"/>
      <c r="L7" s="93"/>
      <c r="M7" s="127" t="s">
        <v>11</v>
      </c>
      <c r="N7" s="127"/>
      <c r="O7" s="127"/>
      <c r="P7" s="128">
        <v>6</v>
      </c>
    </row>
    <row r="8" spans="1:16" ht="32.4" customHeight="1" x14ac:dyDescent="0.3">
      <c r="A8" s="125">
        <v>16</v>
      </c>
      <c r="B8" s="120" t="s">
        <v>4</v>
      </c>
      <c r="C8" s="126" t="s">
        <v>137</v>
      </c>
      <c r="D8" s="126"/>
      <c r="E8" s="126"/>
      <c r="F8" s="126"/>
      <c r="G8" s="126"/>
      <c r="H8" s="126"/>
      <c r="I8" s="126"/>
      <c r="J8" s="118">
        <v>2</v>
      </c>
      <c r="K8" s="118"/>
      <c r="L8" s="93"/>
      <c r="M8" s="127" t="s">
        <v>14</v>
      </c>
      <c r="N8" s="127"/>
      <c r="O8" s="127"/>
      <c r="P8" s="128">
        <v>7</v>
      </c>
    </row>
    <row r="9" spans="1:16" ht="32.4" customHeight="1" x14ac:dyDescent="0.3">
      <c r="A9" s="125">
        <v>10</v>
      </c>
      <c r="B9" s="120" t="s">
        <v>5</v>
      </c>
      <c r="C9" s="126" t="s">
        <v>177</v>
      </c>
      <c r="D9" s="126"/>
      <c r="E9" s="126"/>
      <c r="F9" s="126"/>
      <c r="G9" s="126"/>
      <c r="H9" s="126"/>
      <c r="I9" s="126"/>
      <c r="J9" s="118">
        <v>0</v>
      </c>
      <c r="K9" s="118"/>
      <c r="L9" s="93"/>
      <c r="M9" s="127" t="s">
        <v>12</v>
      </c>
      <c r="N9" s="127"/>
      <c r="O9" s="127"/>
      <c r="P9" s="128">
        <v>10</v>
      </c>
    </row>
    <row r="10" spans="1:16" ht="32.4" customHeight="1" x14ac:dyDescent="0.3">
      <c r="A10" s="125">
        <v>13</v>
      </c>
      <c r="B10" s="120" t="s">
        <v>6</v>
      </c>
      <c r="C10" s="126" t="s">
        <v>178</v>
      </c>
      <c r="D10" s="126"/>
      <c r="E10" s="126"/>
      <c r="F10" s="126"/>
      <c r="G10" s="126"/>
      <c r="H10" s="126"/>
      <c r="I10" s="126"/>
      <c r="J10" s="118">
        <v>1</v>
      </c>
      <c r="K10" s="118"/>
      <c r="L10" s="93"/>
      <c r="M10" s="127" t="s">
        <v>13</v>
      </c>
      <c r="N10" s="127"/>
      <c r="O10" s="127"/>
      <c r="P10" s="128">
        <v>9</v>
      </c>
    </row>
    <row r="11" spans="1:16" ht="32.4" customHeight="1" x14ac:dyDescent="0.3">
      <c r="A11" s="125">
        <v>11</v>
      </c>
      <c r="B11" s="120" t="s">
        <v>7</v>
      </c>
      <c r="C11" s="126" t="s">
        <v>96</v>
      </c>
      <c r="D11" s="126"/>
      <c r="E11" s="126"/>
      <c r="F11" s="126"/>
      <c r="G11" s="126"/>
      <c r="H11" s="126"/>
      <c r="I11" s="126"/>
      <c r="J11" s="118">
        <v>0</v>
      </c>
      <c r="K11" s="118"/>
      <c r="L11" s="93"/>
      <c r="M11" s="93"/>
      <c r="N11" s="93"/>
      <c r="O11" s="93"/>
      <c r="P11" s="129"/>
    </row>
    <row r="12" spans="1:16" ht="9" customHeight="1" x14ac:dyDescent="0.3">
      <c r="A12" s="130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129"/>
    </row>
    <row r="13" spans="1:16" s="3" customFormat="1" ht="15.6" customHeight="1" x14ac:dyDescent="0.3">
      <c r="A13" s="131" t="s">
        <v>16</v>
      </c>
      <c r="B13" s="75"/>
      <c r="C13" s="67"/>
      <c r="D13" s="68"/>
      <c r="E13" s="75" t="s">
        <v>17</v>
      </c>
      <c r="F13" s="75"/>
      <c r="G13" s="75"/>
      <c r="H13" s="67"/>
      <c r="I13" s="132" t="s">
        <v>72</v>
      </c>
      <c r="J13" s="132" t="s">
        <v>73</v>
      </c>
      <c r="K13" s="132" t="s">
        <v>74</v>
      </c>
      <c r="L13" s="68"/>
      <c r="M13" s="68"/>
      <c r="N13" s="75" t="s">
        <v>61</v>
      </c>
      <c r="O13" s="76"/>
      <c r="P13" s="133"/>
    </row>
    <row r="14" spans="1:16" s="3" customFormat="1" ht="15.6" customHeight="1" x14ac:dyDescent="0.3">
      <c r="A14" s="134" t="s">
        <v>179</v>
      </c>
      <c r="B14" s="73"/>
      <c r="C14" s="68"/>
      <c r="D14" s="68"/>
      <c r="E14" s="67" t="s">
        <v>21</v>
      </c>
      <c r="F14" s="67"/>
      <c r="G14" s="68"/>
      <c r="H14" s="135" t="s">
        <v>77</v>
      </c>
      <c r="I14" s="136">
        <v>20</v>
      </c>
      <c r="J14" s="116">
        <f>K14*1.5</f>
        <v>6</v>
      </c>
      <c r="K14" s="116">
        <f>I14/5</f>
        <v>4</v>
      </c>
      <c r="L14" s="68"/>
      <c r="M14" s="68"/>
      <c r="N14" s="68" t="s">
        <v>62</v>
      </c>
      <c r="O14" s="68"/>
      <c r="P14" s="113"/>
    </row>
    <row r="15" spans="1:16" s="3" customFormat="1" ht="15.6" customHeight="1" x14ac:dyDescent="0.3">
      <c r="A15" s="137"/>
      <c r="B15" s="74"/>
      <c r="C15" s="68"/>
      <c r="D15" s="68"/>
      <c r="E15" s="138" t="s">
        <v>38</v>
      </c>
      <c r="F15" s="138"/>
      <c r="G15" s="139"/>
      <c r="H15" s="140" t="s">
        <v>78</v>
      </c>
      <c r="I15" s="141">
        <v>60</v>
      </c>
      <c r="J15" s="141">
        <f>K15*1.5</f>
        <v>18</v>
      </c>
      <c r="K15" s="141">
        <f t="shared" ref="K15:K18" si="0">I15/5</f>
        <v>12</v>
      </c>
      <c r="L15" s="68"/>
      <c r="M15" s="68"/>
      <c r="N15" s="68" t="s">
        <v>143</v>
      </c>
      <c r="O15" s="68"/>
      <c r="P15" s="113"/>
    </row>
    <row r="16" spans="1:16" s="3" customFormat="1" ht="15.6" customHeight="1" x14ac:dyDescent="0.3">
      <c r="A16" s="137"/>
      <c r="B16" s="74"/>
      <c r="C16" s="68"/>
      <c r="D16" s="68"/>
      <c r="E16" s="67" t="s">
        <v>18</v>
      </c>
      <c r="F16" s="67"/>
      <c r="G16" s="68"/>
      <c r="H16" s="135" t="s">
        <v>77</v>
      </c>
      <c r="I16" s="136">
        <v>60</v>
      </c>
      <c r="J16" s="116">
        <f>K16*1.5</f>
        <v>18</v>
      </c>
      <c r="K16" s="116">
        <f t="shared" si="0"/>
        <v>12</v>
      </c>
      <c r="L16" s="68"/>
      <c r="M16" s="68"/>
      <c r="N16" s="68" t="s">
        <v>159</v>
      </c>
      <c r="O16" s="68"/>
      <c r="P16" s="113"/>
    </row>
    <row r="17" spans="1:16" s="3" customFormat="1" ht="15.6" customHeight="1" x14ac:dyDescent="0.3">
      <c r="A17" s="142" t="s">
        <v>214</v>
      </c>
      <c r="B17" s="143"/>
      <c r="C17" s="68"/>
      <c r="D17" s="68"/>
      <c r="E17" s="138" t="s">
        <v>35</v>
      </c>
      <c r="F17" s="138"/>
      <c r="G17" s="139"/>
      <c r="H17" s="140" t="s">
        <v>77</v>
      </c>
      <c r="I17" s="141">
        <v>10</v>
      </c>
      <c r="J17" s="141">
        <f>K17*1.5</f>
        <v>3</v>
      </c>
      <c r="K17" s="141">
        <f t="shared" si="0"/>
        <v>2</v>
      </c>
      <c r="L17" s="68"/>
      <c r="M17" s="68"/>
      <c r="N17" s="68" t="s">
        <v>65</v>
      </c>
      <c r="O17" s="68"/>
      <c r="P17" s="113"/>
    </row>
    <row r="18" spans="1:16" s="3" customFormat="1" ht="15.6" customHeight="1" x14ac:dyDescent="0.3">
      <c r="A18" s="142" t="s">
        <v>102</v>
      </c>
      <c r="B18" s="144"/>
      <c r="C18" s="68"/>
      <c r="D18" s="68"/>
      <c r="E18" s="67" t="s">
        <v>36</v>
      </c>
      <c r="F18" s="67"/>
      <c r="G18" s="68"/>
      <c r="H18" s="135" t="s">
        <v>77</v>
      </c>
      <c r="I18" s="136">
        <v>10</v>
      </c>
      <c r="J18" s="116">
        <f>K18*1.5</f>
        <v>3</v>
      </c>
      <c r="K18" s="116">
        <f t="shared" si="0"/>
        <v>2</v>
      </c>
      <c r="L18" s="68"/>
      <c r="M18" s="68"/>
      <c r="N18" s="68" t="s">
        <v>185</v>
      </c>
      <c r="O18" s="68"/>
      <c r="P18" s="113"/>
    </row>
    <row r="19" spans="1:16" s="3" customFormat="1" ht="15.6" customHeight="1" x14ac:dyDescent="0.3">
      <c r="A19" s="145"/>
      <c r="B19" s="94"/>
      <c r="C19" s="68"/>
      <c r="D19" s="68"/>
      <c r="E19" s="138" t="s">
        <v>22</v>
      </c>
      <c r="F19" s="138"/>
      <c r="G19" s="139"/>
      <c r="H19" s="140" t="s">
        <v>79</v>
      </c>
      <c r="I19" s="146" t="s">
        <v>76</v>
      </c>
      <c r="J19" s="146" t="s">
        <v>75</v>
      </c>
      <c r="K19" s="146"/>
      <c r="L19" s="68"/>
      <c r="M19" s="68"/>
      <c r="N19" s="68" t="s">
        <v>186</v>
      </c>
      <c r="O19" s="68"/>
      <c r="P19" s="113"/>
    </row>
    <row r="20" spans="1:16" s="3" customFormat="1" ht="15.6" customHeight="1" x14ac:dyDescent="0.3">
      <c r="A20" s="147" t="s">
        <v>254</v>
      </c>
      <c r="B20" s="91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148" t="s">
        <v>127</v>
      </c>
      <c r="O20" s="148"/>
      <c r="P20" s="149"/>
    </row>
    <row r="21" spans="1:16" s="3" customFormat="1" ht="15.6" customHeight="1" x14ac:dyDescent="0.3">
      <c r="A21" s="145" t="s">
        <v>255</v>
      </c>
      <c r="B21" s="96"/>
      <c r="C21" s="68"/>
      <c r="D21" s="68"/>
      <c r="E21" s="150" t="str">
        <f>'Cleric A'!E21</f>
        <v>Carica, Ritirata difensiva, Difesa totale</v>
      </c>
      <c r="F21" s="68"/>
      <c r="G21" s="68"/>
      <c r="H21" s="68"/>
      <c r="I21" s="68"/>
      <c r="J21" s="68"/>
      <c r="K21" s="68"/>
      <c r="L21" s="68"/>
      <c r="M21" s="68"/>
      <c r="N21" s="68"/>
      <c r="O21" s="151"/>
      <c r="P21" s="152"/>
    </row>
    <row r="22" spans="1:16" ht="15.6" customHeight="1" x14ac:dyDescent="0.3">
      <c r="A22" s="153" t="s">
        <v>256</v>
      </c>
      <c r="B22" s="92"/>
      <c r="C22" s="93"/>
      <c r="D22" s="93"/>
      <c r="E22" s="150" t="str">
        <f>'Cleric A'!E22</f>
        <v>Spinta, Disarmo, Parare (F), Colpo potente (F)</v>
      </c>
      <c r="F22" s="93"/>
      <c r="G22" s="93"/>
      <c r="H22" s="93"/>
      <c r="I22" s="93"/>
      <c r="J22" s="93"/>
      <c r="K22" s="93"/>
      <c r="L22" s="93"/>
      <c r="M22" s="93"/>
      <c r="N22" s="154"/>
      <c r="O22" s="154" t="s">
        <v>47</v>
      </c>
      <c r="P22" s="155">
        <v>11</v>
      </c>
    </row>
    <row r="23" spans="1:16" ht="15.6" customHeight="1" x14ac:dyDescent="0.3">
      <c r="A23" s="145" t="s">
        <v>257</v>
      </c>
      <c r="B23" s="96"/>
      <c r="C23" s="93"/>
      <c r="D23" s="93"/>
      <c r="E23" s="150" t="str">
        <f>'Cleric A'!E23</f>
        <v>Afferrrare, Liberarsi da presa, Azione Pronta</v>
      </c>
      <c r="F23" s="93"/>
      <c r="G23" s="93"/>
      <c r="H23" s="93"/>
      <c r="I23" s="93"/>
      <c r="J23" s="93"/>
      <c r="K23" s="93"/>
      <c r="L23" s="93"/>
      <c r="M23" s="67"/>
      <c r="N23" s="156"/>
      <c r="O23" s="96"/>
      <c r="P23" s="157"/>
    </row>
    <row r="24" spans="1:16" ht="15.6" customHeight="1" x14ac:dyDescent="0.3">
      <c r="A24" s="153" t="s">
        <v>258</v>
      </c>
      <c r="B24" s="92"/>
      <c r="C24" s="93"/>
      <c r="D24" s="93"/>
      <c r="E24" s="150" t="str">
        <f>'Cleric A'!E24</f>
        <v xml:space="preserve">Attraversare alleati ©, Passare posizione © , </v>
      </c>
      <c r="F24" s="93"/>
      <c r="G24" s="93"/>
      <c r="H24" s="93"/>
      <c r="I24" s="93"/>
      <c r="J24" s="93"/>
      <c r="K24" s="93"/>
      <c r="L24" s="93"/>
      <c r="M24" s="67"/>
      <c r="N24" s="90"/>
      <c r="O24" s="90" t="s">
        <v>248</v>
      </c>
      <c r="P24" s="158" t="s">
        <v>249</v>
      </c>
    </row>
    <row r="25" spans="1:16" ht="15.6" customHeight="1" x14ac:dyDescent="0.3">
      <c r="A25" s="145" t="s">
        <v>259</v>
      </c>
      <c r="B25" s="96"/>
      <c r="C25" s="93"/>
      <c r="D25" s="93"/>
      <c r="E25" s="150" t="str">
        <f>'Cleric A'!E25</f>
        <v>Azione pronta, Preparare per carica</v>
      </c>
      <c r="F25" s="93"/>
      <c r="G25" s="93"/>
      <c r="H25" s="93"/>
      <c r="I25" s="93"/>
      <c r="J25" s="93"/>
      <c r="K25" s="93"/>
      <c r="L25" s="93"/>
      <c r="M25" s="93"/>
      <c r="N25" s="160" t="s">
        <v>43</v>
      </c>
      <c r="O25" s="96"/>
      <c r="P25" s="161"/>
    </row>
    <row r="26" spans="1:16" ht="15.6" customHeight="1" x14ac:dyDescent="0.3">
      <c r="A26" s="153" t="s">
        <v>85</v>
      </c>
      <c r="B26" s="92"/>
      <c r="C26" s="93"/>
      <c r="D26" s="93"/>
      <c r="E26" s="150" t="str">
        <f>'Cleric A'!E26</f>
        <v>Prone: +2 TxC nemici, metà mov per alzarsi</v>
      </c>
      <c r="F26" s="93"/>
      <c r="G26" s="93"/>
      <c r="H26" s="93"/>
      <c r="I26" s="93"/>
      <c r="J26" s="93"/>
      <c r="K26" s="93"/>
      <c r="L26" s="93"/>
      <c r="M26" s="93"/>
      <c r="N26" s="160" t="s">
        <v>40</v>
      </c>
      <c r="O26" s="96"/>
      <c r="P26" s="161">
        <v>500</v>
      </c>
    </row>
    <row r="27" spans="1:16" ht="15.6" customHeight="1" x14ac:dyDescent="0.3">
      <c r="A27" s="162" t="s">
        <v>260</v>
      </c>
      <c r="B27" s="87"/>
      <c r="C27" s="93"/>
      <c r="D27" s="93"/>
      <c r="E27" s="150" t="str">
        <f>'Cleric A'!E27</f>
        <v>Copertura: Parziale -2 TxC | Totale -4 TxC</v>
      </c>
      <c r="F27" s="93"/>
      <c r="G27" s="93"/>
      <c r="H27" s="93"/>
      <c r="I27" s="93"/>
      <c r="J27" s="93"/>
      <c r="K27" s="93"/>
      <c r="L27" s="93"/>
      <c r="M27" s="93"/>
      <c r="N27" s="160" t="s">
        <v>44</v>
      </c>
      <c r="O27" s="96"/>
      <c r="P27" s="161"/>
    </row>
    <row r="28" spans="1:16" ht="15.6" customHeight="1" x14ac:dyDescent="0.3">
      <c r="A28" s="130"/>
      <c r="B28" s="93"/>
      <c r="C28" s="93"/>
      <c r="D28" s="93"/>
      <c r="E28" s="150" t="str">
        <f>'Cleric A'!E28</f>
        <v>Tiro oltre 1* alleato: -2 TxC, 1 Colpito Alleato</v>
      </c>
      <c r="F28" s="93"/>
      <c r="G28" s="136"/>
      <c r="H28" s="93"/>
      <c r="I28" s="136"/>
      <c r="J28" s="93"/>
      <c r="K28" s="93"/>
      <c r="L28" s="93"/>
      <c r="M28" s="93"/>
      <c r="N28" s="160" t="s">
        <v>41</v>
      </c>
      <c r="O28" s="96"/>
      <c r="P28" s="161"/>
    </row>
    <row r="29" spans="1:16" ht="15.6" customHeight="1" x14ac:dyDescent="0.3">
      <c r="A29" s="162"/>
      <c r="B29" s="87"/>
      <c r="C29" s="93"/>
      <c r="D29" s="93"/>
      <c r="E29" s="150" t="str">
        <f>'Cleric A'!E29</f>
        <v>Distanza:   corta +1, lunga -1</v>
      </c>
      <c r="F29" s="93"/>
      <c r="G29" s="93"/>
      <c r="H29" s="93"/>
      <c r="I29" s="93"/>
      <c r="J29" s="93"/>
      <c r="K29" s="93"/>
      <c r="L29" s="93"/>
      <c r="M29" s="93"/>
      <c r="N29" s="164"/>
      <c r="O29" s="154" t="s">
        <v>47</v>
      </c>
      <c r="P29" s="155">
        <v>5</v>
      </c>
    </row>
    <row r="30" spans="1:16" x14ac:dyDescent="0.3">
      <c r="A30" s="130"/>
      <c r="B30" s="93"/>
      <c r="C30" s="93"/>
      <c r="D30" s="93"/>
      <c r="E30" s="150" t="str">
        <f>'Cleric A'!E30</f>
        <v>Copertura vs area: Parz. +2 TS, Quasi tot. +4 TS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129"/>
    </row>
    <row r="31" spans="1:16" ht="15.6" customHeight="1" x14ac:dyDescent="0.3">
      <c r="A31" s="182" t="s">
        <v>132</v>
      </c>
      <c r="B31" s="166"/>
      <c r="C31" s="166" t="s">
        <v>8</v>
      </c>
      <c r="D31" s="93"/>
      <c r="E31" s="150"/>
      <c r="F31" s="93"/>
      <c r="G31" s="93"/>
      <c r="H31" s="93"/>
      <c r="I31" s="93"/>
      <c r="J31" s="93"/>
      <c r="K31" s="93"/>
      <c r="L31" s="93"/>
      <c r="M31" s="93"/>
      <c r="N31" s="75" t="s">
        <v>29</v>
      </c>
      <c r="O31" s="77"/>
      <c r="P31" s="124"/>
    </row>
    <row r="32" spans="1:16" ht="15.6" x14ac:dyDescent="0.3">
      <c r="A32" s="165" t="s">
        <v>131</v>
      </c>
      <c r="B32" s="168"/>
      <c r="C32" s="183">
        <v>2</v>
      </c>
      <c r="D32" s="93"/>
      <c r="E32" s="150"/>
      <c r="F32" s="93"/>
      <c r="G32" s="93"/>
      <c r="H32" s="93"/>
      <c r="I32" s="93"/>
      <c r="J32" s="93"/>
      <c r="K32" s="93"/>
      <c r="L32" s="93"/>
      <c r="M32" s="93"/>
      <c r="N32" s="93" t="s">
        <v>59</v>
      </c>
      <c r="O32" s="93"/>
      <c r="P32" s="129"/>
    </row>
    <row r="33" spans="1:27" x14ac:dyDescent="0.3">
      <c r="A33" s="165" t="s">
        <v>129</v>
      </c>
      <c r="B33" s="168"/>
      <c r="C33" s="168">
        <v>3</v>
      </c>
      <c r="D33" s="93"/>
      <c r="E33" s="150"/>
      <c r="F33" s="93"/>
      <c r="G33" s="93"/>
      <c r="H33" s="93"/>
      <c r="I33" s="93"/>
      <c r="J33" s="93"/>
      <c r="K33" s="93"/>
      <c r="L33" s="93"/>
      <c r="M33" s="93"/>
      <c r="N33" s="93" t="s">
        <v>32</v>
      </c>
      <c r="O33" s="93"/>
      <c r="P33" s="129"/>
    </row>
    <row r="34" spans="1:27" x14ac:dyDescent="0.3">
      <c r="A34" s="165" t="s">
        <v>156</v>
      </c>
      <c r="B34" s="168"/>
      <c r="C34" s="168">
        <v>3</v>
      </c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 t="s">
        <v>60</v>
      </c>
      <c r="O34" s="93"/>
      <c r="P34" s="129"/>
    </row>
    <row r="35" spans="1:27" x14ac:dyDescent="0.3">
      <c r="A35" s="165" t="s">
        <v>24</v>
      </c>
      <c r="B35" s="168"/>
      <c r="C35" s="168">
        <v>3</v>
      </c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 t="s">
        <v>180</v>
      </c>
      <c r="O35" s="93"/>
      <c r="P35" s="129"/>
    </row>
    <row r="36" spans="1:27" x14ac:dyDescent="0.3">
      <c r="A36" s="130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169" t="s">
        <v>213</v>
      </c>
      <c r="M36" s="93"/>
      <c r="N36" s="93"/>
      <c r="O36" s="93"/>
      <c r="P36" s="129"/>
    </row>
    <row r="37" spans="1:27" ht="15.6" x14ac:dyDescent="0.3">
      <c r="A37" s="170" t="s">
        <v>15</v>
      </c>
      <c r="B37" s="79" t="s">
        <v>19</v>
      </c>
      <c r="C37" s="81" t="s">
        <v>20</v>
      </c>
      <c r="D37" s="80">
        <v>8</v>
      </c>
      <c r="E37" s="81">
        <f>D37-1</f>
        <v>7</v>
      </c>
      <c r="F37" s="80">
        <f t="shared" ref="F37:L37" si="1">E37-1</f>
        <v>6</v>
      </c>
      <c r="G37" s="81">
        <f t="shared" si="1"/>
        <v>5</v>
      </c>
      <c r="H37" s="80">
        <f t="shared" si="1"/>
        <v>4</v>
      </c>
      <c r="I37" s="81">
        <f t="shared" si="1"/>
        <v>3</v>
      </c>
      <c r="J37" s="80">
        <f t="shared" si="1"/>
        <v>2</v>
      </c>
      <c r="K37" s="81">
        <f t="shared" si="1"/>
        <v>1</v>
      </c>
      <c r="L37" s="80">
        <f t="shared" si="1"/>
        <v>0</v>
      </c>
      <c r="M37" s="57" t="s">
        <v>26</v>
      </c>
      <c r="N37" s="57"/>
      <c r="O37" s="75" t="s">
        <v>27</v>
      </c>
      <c r="P37" s="124"/>
    </row>
    <row r="38" spans="1:27" ht="18" x14ac:dyDescent="0.3">
      <c r="A38" s="167" t="s">
        <v>113</v>
      </c>
      <c r="B38" s="116" t="s">
        <v>237</v>
      </c>
      <c r="C38" s="171">
        <v>7</v>
      </c>
      <c r="D38" s="172">
        <f>C38+1</f>
        <v>8</v>
      </c>
      <c r="E38" s="171">
        <f t="shared" ref="E38:L38" si="2">D38+1</f>
        <v>9</v>
      </c>
      <c r="F38" s="172">
        <f t="shared" si="2"/>
        <v>10</v>
      </c>
      <c r="G38" s="171">
        <f t="shared" si="2"/>
        <v>11</v>
      </c>
      <c r="H38" s="172">
        <f t="shared" si="2"/>
        <v>12</v>
      </c>
      <c r="I38" s="171">
        <f t="shared" si="2"/>
        <v>13</v>
      </c>
      <c r="J38" s="172">
        <f t="shared" si="2"/>
        <v>14</v>
      </c>
      <c r="K38" s="171">
        <f t="shared" si="2"/>
        <v>15</v>
      </c>
      <c r="L38" s="172">
        <f t="shared" si="2"/>
        <v>16</v>
      </c>
      <c r="M38" s="58" t="s">
        <v>181</v>
      </c>
      <c r="N38" s="58"/>
      <c r="O38" s="93" t="s">
        <v>184</v>
      </c>
      <c r="P38" s="129"/>
    </row>
    <row r="39" spans="1:27" ht="18" x14ac:dyDescent="0.3">
      <c r="A39" s="167" t="s">
        <v>24</v>
      </c>
      <c r="B39" s="116" t="s">
        <v>23</v>
      </c>
      <c r="C39" s="171">
        <v>7</v>
      </c>
      <c r="D39" s="172">
        <f t="shared" ref="D39:L40" si="3">C39+1</f>
        <v>8</v>
      </c>
      <c r="E39" s="171">
        <f t="shared" si="3"/>
        <v>9</v>
      </c>
      <c r="F39" s="172">
        <f t="shared" si="3"/>
        <v>10</v>
      </c>
      <c r="G39" s="171">
        <f t="shared" si="3"/>
        <v>11</v>
      </c>
      <c r="H39" s="172">
        <f t="shared" si="3"/>
        <v>12</v>
      </c>
      <c r="I39" s="171">
        <f t="shared" si="3"/>
        <v>13</v>
      </c>
      <c r="J39" s="172">
        <f t="shared" si="3"/>
        <v>14</v>
      </c>
      <c r="K39" s="171">
        <f t="shared" si="3"/>
        <v>15</v>
      </c>
      <c r="L39" s="172">
        <f t="shared" si="3"/>
        <v>16</v>
      </c>
      <c r="M39" s="173" t="s">
        <v>183</v>
      </c>
      <c r="N39" s="173"/>
      <c r="O39" s="68" t="s">
        <v>125</v>
      </c>
      <c r="P39" s="129"/>
      <c r="AA39"/>
    </row>
    <row r="40" spans="1:27" ht="18.600000000000001" thickBot="1" x14ac:dyDescent="0.35">
      <c r="A40" s="174" t="s">
        <v>156</v>
      </c>
      <c r="B40" s="175" t="s">
        <v>182</v>
      </c>
      <c r="C40" s="176">
        <v>8</v>
      </c>
      <c r="D40" s="177">
        <f t="shared" si="3"/>
        <v>9</v>
      </c>
      <c r="E40" s="176">
        <f t="shared" si="3"/>
        <v>10</v>
      </c>
      <c r="F40" s="177">
        <f t="shared" si="3"/>
        <v>11</v>
      </c>
      <c r="G40" s="176">
        <f t="shared" si="3"/>
        <v>12</v>
      </c>
      <c r="H40" s="177">
        <f t="shared" si="3"/>
        <v>13</v>
      </c>
      <c r="I40" s="176">
        <f t="shared" si="3"/>
        <v>14</v>
      </c>
      <c r="J40" s="177">
        <f t="shared" si="3"/>
        <v>15</v>
      </c>
      <c r="K40" s="176">
        <f t="shared" si="3"/>
        <v>16</v>
      </c>
      <c r="L40" s="177">
        <f t="shared" si="3"/>
        <v>17</v>
      </c>
      <c r="M40" s="178" t="s">
        <v>28</v>
      </c>
      <c r="N40" s="178"/>
      <c r="O40" s="179" t="s">
        <v>126</v>
      </c>
      <c r="P40" s="180"/>
    </row>
  </sheetData>
  <mergeCells count="17">
    <mergeCell ref="N20:P20"/>
    <mergeCell ref="M37:N37"/>
    <mergeCell ref="M38:N38"/>
    <mergeCell ref="M39:N39"/>
    <mergeCell ref="M40:N40"/>
    <mergeCell ref="C6:I6"/>
    <mergeCell ref="M6:O6"/>
    <mergeCell ref="C7:I7"/>
    <mergeCell ref="M7:O7"/>
    <mergeCell ref="C8:I8"/>
    <mergeCell ref="M8:O8"/>
    <mergeCell ref="C9:I9"/>
    <mergeCell ref="M9:O9"/>
    <mergeCell ref="C10:I10"/>
    <mergeCell ref="M10:O10"/>
    <mergeCell ref="C11:I11"/>
    <mergeCell ref="A14:B16"/>
  </mergeCells>
  <pageMargins left="0.19685039370078741" right="0.19685039370078741" top="0.3543307086614173" bottom="0.3543307086614173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570B-E252-4754-963B-16F0C4F39BE1}">
  <dimension ref="A1:AA40"/>
  <sheetViews>
    <sheetView topLeftCell="A7" zoomScale="110" zoomScaleNormal="110" workbookViewId="0">
      <selection activeCell="E29" sqref="E29:E30"/>
    </sheetView>
  </sheetViews>
  <sheetFormatPr defaultRowHeight="14.4" x14ac:dyDescent="0.3"/>
  <cols>
    <col min="1" max="2" width="11.109375" style="2" customWidth="1"/>
    <col min="3" max="13" width="4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97" t="s">
        <v>0</v>
      </c>
      <c r="B1" s="98" t="s">
        <v>153</v>
      </c>
      <c r="C1" s="98"/>
      <c r="D1" s="99"/>
      <c r="E1" s="100"/>
      <c r="F1" s="101"/>
      <c r="G1" s="102" t="s">
        <v>172</v>
      </c>
      <c r="H1" s="98"/>
      <c r="I1" s="101"/>
      <c r="J1" s="103"/>
      <c r="K1" s="104" t="s">
        <v>34</v>
      </c>
      <c r="L1" s="99"/>
      <c r="M1" s="99"/>
      <c r="N1" s="105" t="s">
        <v>101</v>
      </c>
      <c r="O1" s="98"/>
      <c r="P1" s="106"/>
    </row>
    <row r="2" spans="1:16" ht="20.399999999999999" customHeight="1" x14ac:dyDescent="0.3">
      <c r="A2" s="107" t="s">
        <v>100</v>
      </c>
      <c r="B2" s="83" t="s">
        <v>81</v>
      </c>
      <c r="C2" s="83"/>
      <c r="D2" s="108"/>
      <c r="E2" s="84" t="s">
        <v>33</v>
      </c>
      <c r="F2" s="85"/>
      <c r="G2" s="85" t="s">
        <v>152</v>
      </c>
      <c r="H2" s="85"/>
      <c r="I2" s="86" t="s">
        <v>109</v>
      </c>
      <c r="J2" s="108"/>
      <c r="K2" s="109" t="s">
        <v>1</v>
      </c>
      <c r="L2" s="110"/>
      <c r="M2" s="110"/>
      <c r="N2" s="83" t="s">
        <v>55</v>
      </c>
      <c r="O2" s="83"/>
      <c r="P2" s="111"/>
    </row>
    <row r="3" spans="1:16" ht="9.6" customHeight="1" x14ac:dyDescent="0.3">
      <c r="A3" s="112"/>
      <c r="B3" s="68"/>
      <c r="C3" s="68"/>
      <c r="D3" s="68"/>
      <c r="E3" s="68"/>
      <c r="F3" s="68"/>
      <c r="G3" s="68"/>
      <c r="H3" s="68"/>
      <c r="I3" s="93"/>
      <c r="J3" s="93"/>
      <c r="K3" s="68"/>
      <c r="L3" s="68"/>
      <c r="M3" s="68"/>
      <c r="N3" s="68"/>
      <c r="O3" s="68"/>
      <c r="P3" s="113"/>
    </row>
    <row r="4" spans="1:16" ht="18.600000000000001" customHeight="1" x14ac:dyDescent="0.3">
      <c r="A4" s="114" t="s">
        <v>8</v>
      </c>
      <c r="B4" s="115">
        <v>4</v>
      </c>
      <c r="C4" s="116"/>
      <c r="D4" s="117" t="s">
        <v>37</v>
      </c>
      <c r="E4" s="116"/>
      <c r="F4" s="118">
        <v>20</v>
      </c>
      <c r="G4" s="119" t="s">
        <v>69</v>
      </c>
      <c r="H4" s="116"/>
      <c r="I4" s="116"/>
      <c r="J4" s="116"/>
      <c r="K4" s="120" t="s">
        <v>99</v>
      </c>
      <c r="L4" s="116"/>
      <c r="M4" s="121">
        <v>2</v>
      </c>
      <c r="N4" s="116"/>
      <c r="O4" s="117" t="s">
        <v>9</v>
      </c>
      <c r="P4" s="122">
        <v>26</v>
      </c>
    </row>
    <row r="5" spans="1:16" ht="19.8" customHeight="1" x14ac:dyDescent="0.3">
      <c r="A5" s="123" t="s">
        <v>29</v>
      </c>
      <c r="B5" s="78"/>
      <c r="C5" s="93"/>
      <c r="D5" s="93"/>
      <c r="E5" s="93"/>
      <c r="F5" s="93"/>
      <c r="G5" s="93"/>
      <c r="H5" s="93"/>
      <c r="I5" s="93"/>
      <c r="J5" s="93" t="s">
        <v>98</v>
      </c>
      <c r="K5" s="93"/>
      <c r="L5" s="93"/>
      <c r="M5" s="78" t="s">
        <v>10</v>
      </c>
      <c r="N5" s="77"/>
      <c r="O5" s="77"/>
      <c r="P5" s="124"/>
    </row>
    <row r="6" spans="1:16" ht="32.4" customHeight="1" x14ac:dyDescent="0.3">
      <c r="A6" s="125">
        <v>9</v>
      </c>
      <c r="B6" s="120" t="s">
        <v>2</v>
      </c>
      <c r="C6" s="126" t="s">
        <v>91</v>
      </c>
      <c r="D6" s="126"/>
      <c r="E6" s="126"/>
      <c r="F6" s="126"/>
      <c r="G6" s="126"/>
      <c r="H6" s="126"/>
      <c r="I6" s="126"/>
      <c r="J6" s="118">
        <v>0</v>
      </c>
      <c r="K6" s="118"/>
      <c r="L6" s="93"/>
      <c r="M6" s="127" t="s">
        <v>56</v>
      </c>
      <c r="N6" s="127"/>
      <c r="O6" s="127"/>
      <c r="P6" s="128">
        <v>12</v>
      </c>
    </row>
    <row r="7" spans="1:16" ht="32.4" customHeight="1" x14ac:dyDescent="0.3">
      <c r="A7" s="125">
        <v>16</v>
      </c>
      <c r="B7" s="120" t="s">
        <v>3</v>
      </c>
      <c r="C7" s="126" t="s">
        <v>123</v>
      </c>
      <c r="D7" s="126"/>
      <c r="E7" s="126"/>
      <c r="F7" s="126"/>
      <c r="G7" s="126"/>
      <c r="H7" s="126"/>
      <c r="I7" s="126"/>
      <c r="J7" s="118">
        <v>2</v>
      </c>
      <c r="K7" s="118"/>
      <c r="L7" s="93"/>
      <c r="M7" s="127" t="s">
        <v>11</v>
      </c>
      <c r="N7" s="127"/>
      <c r="O7" s="127"/>
      <c r="P7" s="128">
        <v>14</v>
      </c>
    </row>
    <row r="8" spans="1:16" ht="32.4" customHeight="1" x14ac:dyDescent="0.3">
      <c r="A8" s="125">
        <v>13</v>
      </c>
      <c r="B8" s="120" t="s">
        <v>4</v>
      </c>
      <c r="C8" s="126" t="s">
        <v>137</v>
      </c>
      <c r="D8" s="126"/>
      <c r="E8" s="126"/>
      <c r="F8" s="126"/>
      <c r="G8" s="126"/>
      <c r="H8" s="126"/>
      <c r="I8" s="126"/>
      <c r="J8" s="118">
        <v>1</v>
      </c>
      <c r="K8" s="118"/>
      <c r="L8" s="93"/>
      <c r="M8" s="127" t="s">
        <v>14</v>
      </c>
      <c r="N8" s="127"/>
      <c r="O8" s="127"/>
      <c r="P8" s="128">
        <v>12</v>
      </c>
    </row>
    <row r="9" spans="1:16" ht="32.4" customHeight="1" x14ac:dyDescent="0.3">
      <c r="A9" s="125">
        <v>14</v>
      </c>
      <c r="B9" s="120" t="s">
        <v>5</v>
      </c>
      <c r="C9" s="126" t="s">
        <v>138</v>
      </c>
      <c r="D9" s="126"/>
      <c r="E9" s="126"/>
      <c r="F9" s="126"/>
      <c r="G9" s="126"/>
      <c r="H9" s="126"/>
      <c r="I9" s="126"/>
      <c r="J9" s="118">
        <v>1</v>
      </c>
      <c r="K9" s="118"/>
      <c r="L9" s="93"/>
      <c r="M9" s="127" t="s">
        <v>12</v>
      </c>
      <c r="N9" s="127"/>
      <c r="O9" s="127"/>
      <c r="P9" s="128">
        <v>16</v>
      </c>
    </row>
    <row r="10" spans="1:16" ht="32.4" customHeight="1" x14ac:dyDescent="0.3">
      <c r="A10" s="125">
        <v>6</v>
      </c>
      <c r="B10" s="120" t="s">
        <v>6</v>
      </c>
      <c r="C10" s="126" t="s">
        <v>124</v>
      </c>
      <c r="D10" s="126"/>
      <c r="E10" s="126"/>
      <c r="F10" s="126"/>
      <c r="G10" s="126"/>
      <c r="H10" s="126"/>
      <c r="I10" s="126"/>
      <c r="J10" s="118">
        <v>-1</v>
      </c>
      <c r="K10" s="118"/>
      <c r="L10" s="93"/>
      <c r="M10" s="127" t="s">
        <v>13</v>
      </c>
      <c r="N10" s="127"/>
      <c r="O10" s="127"/>
      <c r="P10" s="128">
        <v>14</v>
      </c>
    </row>
    <row r="11" spans="1:16" ht="32.4" customHeight="1" x14ac:dyDescent="0.3">
      <c r="A11" s="125">
        <v>10</v>
      </c>
      <c r="B11" s="120" t="s">
        <v>7</v>
      </c>
      <c r="C11" s="126" t="s">
        <v>96</v>
      </c>
      <c r="D11" s="126"/>
      <c r="E11" s="126"/>
      <c r="F11" s="126"/>
      <c r="G11" s="126"/>
      <c r="H11" s="126"/>
      <c r="I11" s="126"/>
      <c r="J11" s="118">
        <v>0</v>
      </c>
      <c r="K11" s="118"/>
      <c r="L11" s="93"/>
      <c r="M11" s="93"/>
      <c r="N11" s="93"/>
      <c r="O11" s="93"/>
      <c r="P11" s="129"/>
    </row>
    <row r="12" spans="1:16" ht="8.4" customHeight="1" x14ac:dyDescent="0.3">
      <c r="A12" s="130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129"/>
    </row>
    <row r="13" spans="1:16" s="3" customFormat="1" ht="15.6" customHeight="1" x14ac:dyDescent="0.3">
      <c r="A13" s="131" t="s">
        <v>16</v>
      </c>
      <c r="B13" s="75"/>
      <c r="C13" s="67"/>
      <c r="D13" s="68"/>
      <c r="E13" s="75" t="s">
        <v>17</v>
      </c>
      <c r="F13" s="75"/>
      <c r="G13" s="75"/>
      <c r="H13" s="67"/>
      <c r="I13" s="132" t="s">
        <v>72</v>
      </c>
      <c r="J13" s="132" t="s">
        <v>73</v>
      </c>
      <c r="K13" s="132" t="s">
        <v>74</v>
      </c>
      <c r="L13" s="68"/>
      <c r="M13" s="68"/>
      <c r="N13" s="75" t="s">
        <v>61</v>
      </c>
      <c r="O13" s="76"/>
      <c r="P13" s="133"/>
    </row>
    <row r="14" spans="1:16" s="3" customFormat="1" ht="15.6" customHeight="1" x14ac:dyDescent="0.3">
      <c r="A14" s="134" t="s">
        <v>179</v>
      </c>
      <c r="B14" s="73"/>
      <c r="C14" s="68"/>
      <c r="D14" s="68"/>
      <c r="E14" s="67" t="s">
        <v>21</v>
      </c>
      <c r="F14" s="67"/>
      <c r="G14" s="68"/>
      <c r="H14" s="135" t="s">
        <v>77</v>
      </c>
      <c r="I14" s="136">
        <v>40</v>
      </c>
      <c r="J14" s="116">
        <f>K14*1.5</f>
        <v>12</v>
      </c>
      <c r="K14" s="116">
        <f>I14/5</f>
        <v>8</v>
      </c>
      <c r="L14" s="68"/>
      <c r="M14" s="68"/>
      <c r="N14" s="68" t="s">
        <v>158</v>
      </c>
      <c r="O14" s="68"/>
      <c r="P14" s="113"/>
    </row>
    <row r="15" spans="1:16" s="3" customFormat="1" ht="15.6" customHeight="1" x14ac:dyDescent="0.3">
      <c r="A15" s="137"/>
      <c r="B15" s="74"/>
      <c r="C15" s="68"/>
      <c r="D15" s="68"/>
      <c r="E15" s="138" t="s">
        <v>38</v>
      </c>
      <c r="F15" s="138"/>
      <c r="G15" s="139"/>
      <c r="H15" s="140" t="s">
        <v>78</v>
      </c>
      <c r="I15" s="141">
        <f>I14*3</f>
        <v>120</v>
      </c>
      <c r="J15" s="141">
        <f>K15*1.5</f>
        <v>36</v>
      </c>
      <c r="K15" s="141">
        <f t="shared" ref="K15:K18" si="0">I15/5</f>
        <v>24</v>
      </c>
      <c r="L15" s="68"/>
      <c r="M15" s="68"/>
      <c r="N15" s="68" t="s">
        <v>143</v>
      </c>
      <c r="O15" s="68"/>
      <c r="P15" s="113"/>
    </row>
    <row r="16" spans="1:16" s="3" customFormat="1" ht="15.6" customHeight="1" x14ac:dyDescent="0.3">
      <c r="A16" s="137"/>
      <c r="B16" s="74"/>
      <c r="C16" s="68"/>
      <c r="D16" s="68"/>
      <c r="E16" s="67" t="s">
        <v>18</v>
      </c>
      <c r="F16" s="67"/>
      <c r="G16" s="68"/>
      <c r="H16" s="135" t="s">
        <v>77</v>
      </c>
      <c r="I16" s="136">
        <f>I14*3</f>
        <v>120</v>
      </c>
      <c r="J16" s="116">
        <f>K16*1.5</f>
        <v>36</v>
      </c>
      <c r="K16" s="116">
        <f t="shared" si="0"/>
        <v>24</v>
      </c>
      <c r="L16" s="68"/>
      <c r="M16" s="68"/>
      <c r="N16" s="68" t="s">
        <v>159</v>
      </c>
      <c r="O16" s="68"/>
      <c r="P16" s="113"/>
    </row>
    <row r="17" spans="1:21" s="3" customFormat="1" ht="15.6" customHeight="1" x14ac:dyDescent="0.3">
      <c r="A17" s="142" t="s">
        <v>214</v>
      </c>
      <c r="B17" s="143"/>
      <c r="C17" s="68"/>
      <c r="D17" s="68"/>
      <c r="E17" s="138" t="s">
        <v>35</v>
      </c>
      <c r="F17" s="138"/>
      <c r="G17" s="139"/>
      <c r="H17" s="140" t="s">
        <v>77</v>
      </c>
      <c r="I17" s="141">
        <f>I14/2</f>
        <v>20</v>
      </c>
      <c r="J17" s="141">
        <f>K17*1.5</f>
        <v>6</v>
      </c>
      <c r="K17" s="141">
        <f t="shared" si="0"/>
        <v>4</v>
      </c>
      <c r="L17" s="68"/>
      <c r="M17" s="68"/>
      <c r="N17" s="68" t="s">
        <v>65</v>
      </c>
      <c r="O17" s="68"/>
      <c r="P17" s="113"/>
    </row>
    <row r="18" spans="1:21" s="3" customFormat="1" ht="15.6" customHeight="1" x14ac:dyDescent="0.3">
      <c r="A18" s="142" t="s">
        <v>102</v>
      </c>
      <c r="B18" s="144"/>
      <c r="C18" s="68"/>
      <c r="D18" s="68"/>
      <c r="E18" s="67" t="s">
        <v>36</v>
      </c>
      <c r="F18" s="67"/>
      <c r="G18" s="68"/>
      <c r="H18" s="135" t="s">
        <v>77</v>
      </c>
      <c r="I18" s="136">
        <f>I14/2</f>
        <v>20</v>
      </c>
      <c r="J18" s="116">
        <f>K18*1.5</f>
        <v>6</v>
      </c>
      <c r="K18" s="116">
        <f t="shared" si="0"/>
        <v>4</v>
      </c>
      <c r="L18" s="68"/>
      <c r="M18" s="68"/>
      <c r="N18" s="68" t="s">
        <v>160</v>
      </c>
      <c r="O18" s="68"/>
      <c r="P18" s="113"/>
    </row>
    <row r="19" spans="1:21" s="3" customFormat="1" ht="15.6" customHeight="1" x14ac:dyDescent="0.3">
      <c r="A19" s="145"/>
      <c r="B19" s="94"/>
      <c r="C19" s="68"/>
      <c r="D19" s="68"/>
      <c r="E19" s="138" t="s">
        <v>22</v>
      </c>
      <c r="F19" s="138"/>
      <c r="G19" s="139"/>
      <c r="H19" s="140" t="s">
        <v>79</v>
      </c>
      <c r="I19" s="146" t="s">
        <v>141</v>
      </c>
      <c r="J19" s="146" t="s">
        <v>140</v>
      </c>
      <c r="K19" s="146"/>
      <c r="L19" s="68"/>
      <c r="M19" s="68"/>
      <c r="N19" s="68" t="s">
        <v>161</v>
      </c>
      <c r="O19" s="68"/>
      <c r="P19" s="113"/>
    </row>
    <row r="20" spans="1:21" s="3" customFormat="1" ht="15.6" customHeight="1" x14ac:dyDescent="0.3">
      <c r="A20" s="147" t="s">
        <v>254</v>
      </c>
      <c r="B20" s="91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148" t="s">
        <v>127</v>
      </c>
      <c r="O20" s="148"/>
      <c r="P20" s="149"/>
    </row>
    <row r="21" spans="1:21" s="3" customFormat="1" ht="15.6" customHeight="1" x14ac:dyDescent="0.3">
      <c r="A21" s="145" t="s">
        <v>255</v>
      </c>
      <c r="B21" s="96"/>
      <c r="C21" s="68"/>
      <c r="D21" s="68"/>
      <c r="E21" s="150" t="str">
        <f>'Cleric A'!E21</f>
        <v>Carica, Ritirata difensiva, Difesa totale</v>
      </c>
      <c r="F21" s="68"/>
      <c r="G21" s="68"/>
      <c r="H21" s="68"/>
      <c r="I21" s="68"/>
      <c r="J21" s="68"/>
      <c r="K21" s="68"/>
      <c r="L21" s="68"/>
      <c r="M21" s="68"/>
      <c r="N21" s="68"/>
      <c r="O21" s="151"/>
      <c r="P21" s="152"/>
    </row>
    <row r="22" spans="1:21" ht="15.6" customHeight="1" x14ac:dyDescent="0.3">
      <c r="A22" s="153" t="s">
        <v>256</v>
      </c>
      <c r="B22" s="92"/>
      <c r="C22" s="93"/>
      <c r="D22" s="93"/>
      <c r="E22" s="150" t="str">
        <f>'Cleric A'!E22</f>
        <v>Spinta, Disarmo, Parare (F), Colpo potente (F)</v>
      </c>
      <c r="F22" s="93"/>
      <c r="G22" s="93"/>
      <c r="H22" s="93"/>
      <c r="I22" s="93"/>
      <c r="J22" s="93"/>
      <c r="K22" s="93"/>
      <c r="L22" s="93"/>
      <c r="M22" s="93"/>
      <c r="N22" s="154"/>
      <c r="O22" s="154" t="s">
        <v>47</v>
      </c>
      <c r="P22" s="155">
        <v>9</v>
      </c>
      <c r="U22" s="56"/>
    </row>
    <row r="23" spans="1:21" ht="15.6" customHeight="1" x14ac:dyDescent="0.3">
      <c r="A23" s="145" t="s">
        <v>257</v>
      </c>
      <c r="B23" s="96"/>
      <c r="C23" s="93"/>
      <c r="D23" s="93"/>
      <c r="E23" s="150" t="str">
        <f>'Cleric A'!E23</f>
        <v>Afferrrare, Liberarsi da presa, Azione Pronta</v>
      </c>
      <c r="F23" s="93"/>
      <c r="G23" s="93"/>
      <c r="H23" s="93"/>
      <c r="I23" s="93"/>
      <c r="J23" s="93"/>
      <c r="K23" s="93"/>
      <c r="L23" s="93"/>
      <c r="M23" s="67"/>
      <c r="N23" s="156"/>
      <c r="O23" s="96"/>
      <c r="P23" s="157"/>
      <c r="R23" s="69"/>
      <c r="S23" s="69"/>
      <c r="T23" s="69"/>
      <c r="U23" s="70"/>
    </row>
    <row r="24" spans="1:21" ht="15.6" customHeight="1" x14ac:dyDescent="0.3">
      <c r="A24" s="153" t="s">
        <v>258</v>
      </c>
      <c r="B24" s="92"/>
      <c r="C24" s="93"/>
      <c r="D24" s="93"/>
      <c r="E24" s="150" t="str">
        <f>'Cleric A'!E24</f>
        <v xml:space="preserve">Attraversare alleati ©, Passare posizione © , </v>
      </c>
      <c r="F24" s="93"/>
      <c r="G24" s="93"/>
      <c r="H24" s="93"/>
      <c r="I24" s="93"/>
      <c r="J24" s="93"/>
      <c r="K24" s="93"/>
      <c r="L24" s="93"/>
      <c r="M24" s="67"/>
      <c r="N24" s="90"/>
      <c r="O24" s="90" t="s">
        <v>248</v>
      </c>
      <c r="P24" s="158" t="s">
        <v>249</v>
      </c>
      <c r="R24" s="69"/>
      <c r="S24" s="69"/>
      <c r="T24" s="71"/>
      <c r="U24" s="71"/>
    </row>
    <row r="25" spans="1:21" ht="15.6" customHeight="1" x14ac:dyDescent="0.3">
      <c r="A25" s="145" t="s">
        <v>259</v>
      </c>
      <c r="B25" s="96"/>
      <c r="C25" s="93"/>
      <c r="D25" s="93"/>
      <c r="E25" s="150" t="str">
        <f>'Cleric A'!E25</f>
        <v>Azione pronta, Preparare per carica</v>
      </c>
      <c r="F25" s="93"/>
      <c r="G25" s="93"/>
      <c r="H25" s="93"/>
      <c r="I25" s="93"/>
      <c r="J25" s="93"/>
      <c r="K25" s="93"/>
      <c r="L25" s="93"/>
      <c r="M25" s="93"/>
      <c r="N25" s="160" t="s">
        <v>43</v>
      </c>
      <c r="O25" s="96"/>
      <c r="P25" s="161"/>
      <c r="R25" s="69"/>
      <c r="S25" s="69"/>
      <c r="T25" s="71"/>
      <c r="U25" s="71"/>
    </row>
    <row r="26" spans="1:21" ht="15.6" customHeight="1" x14ac:dyDescent="0.3">
      <c r="A26" s="153" t="s">
        <v>85</v>
      </c>
      <c r="B26" s="92"/>
      <c r="C26" s="93"/>
      <c r="D26" s="93"/>
      <c r="E26" s="150" t="str">
        <f>'Cleric A'!E26</f>
        <v>Prone: +2 TxC nemici, metà mov per alzarsi</v>
      </c>
      <c r="F26" s="93"/>
      <c r="G26" s="93"/>
      <c r="H26" s="93"/>
      <c r="I26" s="93"/>
      <c r="J26" s="93"/>
      <c r="K26" s="93"/>
      <c r="L26" s="93"/>
      <c r="M26" s="93"/>
      <c r="N26" s="160" t="s">
        <v>40</v>
      </c>
      <c r="O26" s="96"/>
      <c r="P26" s="161">
        <v>500</v>
      </c>
      <c r="R26" s="69"/>
      <c r="S26" s="69"/>
      <c r="T26" s="72"/>
      <c r="U26" s="72"/>
    </row>
    <row r="27" spans="1:21" ht="15.6" customHeight="1" x14ac:dyDescent="0.3">
      <c r="A27" s="162" t="s">
        <v>260</v>
      </c>
      <c r="B27" s="87"/>
      <c r="C27" s="93"/>
      <c r="D27" s="93"/>
      <c r="E27" s="150" t="str">
        <f>'Cleric A'!E27</f>
        <v>Copertura: Parziale -2 TxC | Totale -4 TxC</v>
      </c>
      <c r="F27" s="93"/>
      <c r="G27" s="93"/>
      <c r="H27" s="93"/>
      <c r="I27" s="93"/>
      <c r="J27" s="93"/>
      <c r="K27" s="93"/>
      <c r="L27" s="93"/>
      <c r="M27" s="93"/>
      <c r="N27" s="160" t="s">
        <v>44</v>
      </c>
      <c r="O27" s="96"/>
      <c r="P27" s="161"/>
      <c r="R27" s="69"/>
      <c r="S27" s="69"/>
      <c r="T27" s="72"/>
      <c r="U27" s="72"/>
    </row>
    <row r="28" spans="1:21" ht="15.6" customHeight="1" x14ac:dyDescent="0.3">
      <c r="A28" s="130"/>
      <c r="B28" s="93"/>
      <c r="C28" s="93"/>
      <c r="D28" s="93"/>
      <c r="E28" s="150" t="str">
        <f>'Cleric A'!E28</f>
        <v>Tiro oltre 1* alleato: -2 TxC, 1 Colpito Alleato</v>
      </c>
      <c r="F28" s="93"/>
      <c r="G28" s="136"/>
      <c r="H28" s="93"/>
      <c r="I28" s="136"/>
      <c r="J28" s="93"/>
      <c r="K28" s="93"/>
      <c r="L28" s="93"/>
      <c r="M28" s="93"/>
      <c r="N28" s="160" t="s">
        <v>41</v>
      </c>
      <c r="O28" s="96"/>
      <c r="P28" s="161"/>
      <c r="R28" s="69"/>
      <c r="S28" s="69"/>
      <c r="T28" s="72"/>
      <c r="U28" s="72"/>
    </row>
    <row r="29" spans="1:21" ht="15.6" customHeight="1" x14ac:dyDescent="0.3">
      <c r="A29" s="112" t="s">
        <v>164</v>
      </c>
      <c r="B29" s="93"/>
      <c r="C29" s="159">
        <v>0.45</v>
      </c>
      <c r="D29" s="93"/>
      <c r="E29" s="150" t="str">
        <f>'Cleric A'!E29</f>
        <v>Distanza:   corta +1, lunga -1</v>
      </c>
      <c r="F29" s="93"/>
      <c r="G29" s="93"/>
      <c r="H29" s="93"/>
      <c r="I29" s="93"/>
      <c r="J29" s="93"/>
      <c r="K29" s="93"/>
      <c r="L29" s="93"/>
      <c r="M29" s="93"/>
      <c r="N29" s="164"/>
      <c r="O29" s="154" t="s">
        <v>47</v>
      </c>
      <c r="P29" s="155">
        <v>5</v>
      </c>
      <c r="R29" s="69"/>
      <c r="S29" s="69"/>
      <c r="T29" s="72"/>
      <c r="U29" s="72"/>
    </row>
    <row r="30" spans="1:21" x14ac:dyDescent="0.3">
      <c r="A30" s="112" t="s">
        <v>169</v>
      </c>
      <c r="B30" s="93"/>
      <c r="C30" s="159">
        <v>0.4</v>
      </c>
      <c r="D30" s="93"/>
      <c r="E30" s="150" t="str">
        <f>'Cleric A'!E30</f>
        <v>Copertura vs area: Parz. +2 TS, Quasi tot. +4 TS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129"/>
      <c r="R30" s="69"/>
      <c r="S30" s="69"/>
      <c r="T30" s="72"/>
      <c r="U30" s="72"/>
    </row>
    <row r="31" spans="1:21" ht="15.6" customHeight="1" x14ac:dyDescent="0.3">
      <c r="A31" s="165" t="s">
        <v>165</v>
      </c>
      <c r="B31" s="166"/>
      <c r="C31" s="159">
        <v>0.45</v>
      </c>
      <c r="D31" s="93"/>
      <c r="E31" s="150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129"/>
      <c r="R31" s="69"/>
      <c r="S31" s="69"/>
      <c r="T31" s="72"/>
      <c r="U31" s="72"/>
    </row>
    <row r="32" spans="1:21" x14ac:dyDescent="0.3">
      <c r="A32" s="165" t="s">
        <v>166</v>
      </c>
      <c r="B32" s="168"/>
      <c r="C32" s="159">
        <v>0.45</v>
      </c>
      <c r="D32" s="93"/>
      <c r="E32" s="150"/>
      <c r="F32" s="93"/>
      <c r="G32" s="93"/>
      <c r="H32" s="93"/>
      <c r="I32" s="93"/>
      <c r="J32" s="93"/>
      <c r="K32" s="93"/>
      <c r="L32" s="93"/>
      <c r="M32" s="93"/>
      <c r="N32" s="75" t="s">
        <v>29</v>
      </c>
      <c r="O32" s="77"/>
      <c r="P32" s="124"/>
      <c r="R32" s="69"/>
      <c r="S32" s="69"/>
      <c r="T32" s="69"/>
      <c r="U32" s="69"/>
    </row>
    <row r="33" spans="1:27" x14ac:dyDescent="0.3">
      <c r="A33" s="165" t="s">
        <v>167</v>
      </c>
      <c r="B33" s="168"/>
      <c r="C33" s="159">
        <v>0.92</v>
      </c>
      <c r="D33" s="93"/>
      <c r="E33" s="150"/>
      <c r="F33" s="93"/>
      <c r="G33" s="93"/>
      <c r="H33" s="93"/>
      <c r="I33" s="93"/>
      <c r="J33" s="93"/>
      <c r="K33" s="93"/>
      <c r="L33" s="93"/>
      <c r="M33" s="93"/>
      <c r="N33" s="93" t="s">
        <v>59</v>
      </c>
      <c r="O33" s="93"/>
      <c r="P33" s="129"/>
      <c r="R33" s="69"/>
      <c r="S33" s="69"/>
      <c r="T33" s="69"/>
      <c r="U33" s="69"/>
    </row>
    <row r="34" spans="1:27" x14ac:dyDescent="0.3">
      <c r="A34" s="165" t="s">
        <v>168</v>
      </c>
      <c r="B34" s="168"/>
      <c r="C34" s="159">
        <v>0.36</v>
      </c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 t="s">
        <v>162</v>
      </c>
      <c r="O34" s="93"/>
      <c r="P34" s="129"/>
      <c r="R34" s="69"/>
      <c r="S34" s="69"/>
      <c r="T34" s="69"/>
      <c r="U34" s="69"/>
    </row>
    <row r="35" spans="1:27" x14ac:dyDescent="0.3">
      <c r="A35" s="165" t="s">
        <v>170</v>
      </c>
      <c r="B35" s="168"/>
      <c r="C35" s="159">
        <v>0.8</v>
      </c>
      <c r="D35" s="93"/>
      <c r="E35" s="184" t="s">
        <v>171</v>
      </c>
      <c r="F35" s="93"/>
      <c r="G35" s="93"/>
      <c r="H35" s="93"/>
      <c r="I35" s="93"/>
      <c r="J35" s="93"/>
      <c r="K35" s="93"/>
      <c r="L35" s="93"/>
      <c r="M35" s="93"/>
      <c r="N35" s="93" t="s">
        <v>163</v>
      </c>
      <c r="O35" s="93"/>
      <c r="P35" s="129"/>
      <c r="R35" s="69"/>
      <c r="S35" s="69"/>
      <c r="T35" s="69"/>
      <c r="U35" s="69"/>
    </row>
    <row r="36" spans="1:27" x14ac:dyDescent="0.3">
      <c r="A36" s="130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169" t="s">
        <v>213</v>
      </c>
      <c r="M36" s="93"/>
      <c r="N36" s="93"/>
      <c r="O36" s="93"/>
      <c r="P36" s="129"/>
    </row>
    <row r="37" spans="1:27" ht="15.6" x14ac:dyDescent="0.3">
      <c r="A37" s="170" t="s">
        <v>15</v>
      </c>
      <c r="B37" s="79" t="s">
        <v>19</v>
      </c>
      <c r="C37" s="81" t="s">
        <v>20</v>
      </c>
      <c r="D37" s="80">
        <v>8</v>
      </c>
      <c r="E37" s="81">
        <f>D37-1</f>
        <v>7</v>
      </c>
      <c r="F37" s="80">
        <f t="shared" ref="F37:L37" si="1">E37-1</f>
        <v>6</v>
      </c>
      <c r="G37" s="81">
        <f t="shared" si="1"/>
        <v>5</v>
      </c>
      <c r="H37" s="80">
        <f t="shared" si="1"/>
        <v>4</v>
      </c>
      <c r="I37" s="81">
        <f t="shared" si="1"/>
        <v>3</v>
      </c>
      <c r="J37" s="80">
        <f t="shared" si="1"/>
        <v>2</v>
      </c>
      <c r="K37" s="81">
        <f t="shared" si="1"/>
        <v>1</v>
      </c>
      <c r="L37" s="80">
        <f t="shared" si="1"/>
        <v>0</v>
      </c>
      <c r="M37" s="57" t="s">
        <v>26</v>
      </c>
      <c r="N37" s="57"/>
      <c r="O37" s="75" t="s">
        <v>27</v>
      </c>
      <c r="P37" s="124"/>
    </row>
    <row r="38" spans="1:27" ht="18" x14ac:dyDescent="0.3">
      <c r="A38" s="167" t="s">
        <v>155</v>
      </c>
      <c r="B38" s="116" t="s">
        <v>23</v>
      </c>
      <c r="C38" s="171">
        <v>8</v>
      </c>
      <c r="D38" s="172">
        <f>C38+1</f>
        <v>9</v>
      </c>
      <c r="E38" s="171">
        <f t="shared" ref="E38:L38" si="2">D38+1</f>
        <v>10</v>
      </c>
      <c r="F38" s="172">
        <f t="shared" si="2"/>
        <v>11</v>
      </c>
      <c r="G38" s="171">
        <f t="shared" si="2"/>
        <v>12</v>
      </c>
      <c r="H38" s="172">
        <f t="shared" si="2"/>
        <v>13</v>
      </c>
      <c r="I38" s="171">
        <f t="shared" si="2"/>
        <v>14</v>
      </c>
      <c r="J38" s="172">
        <f t="shared" si="2"/>
        <v>15</v>
      </c>
      <c r="K38" s="171">
        <f t="shared" si="2"/>
        <v>16</v>
      </c>
      <c r="L38" s="172">
        <f t="shared" si="2"/>
        <v>17</v>
      </c>
      <c r="M38" s="58" t="s">
        <v>88</v>
      </c>
      <c r="N38" s="58"/>
      <c r="O38" s="93"/>
      <c r="P38" s="129"/>
    </row>
    <row r="39" spans="1:27" ht="18" x14ac:dyDescent="0.3">
      <c r="A39" s="167" t="s">
        <v>24</v>
      </c>
      <c r="B39" s="116" t="s">
        <v>23</v>
      </c>
      <c r="C39" s="171">
        <v>8</v>
      </c>
      <c r="D39" s="172">
        <f t="shared" ref="D39:L40" si="3">C39+1</f>
        <v>9</v>
      </c>
      <c r="E39" s="171">
        <f t="shared" si="3"/>
        <v>10</v>
      </c>
      <c r="F39" s="172">
        <f t="shared" si="3"/>
        <v>11</v>
      </c>
      <c r="G39" s="171">
        <f t="shared" si="3"/>
        <v>12</v>
      </c>
      <c r="H39" s="172">
        <f t="shared" si="3"/>
        <v>13</v>
      </c>
      <c r="I39" s="171">
        <f t="shared" si="3"/>
        <v>14</v>
      </c>
      <c r="J39" s="172">
        <f t="shared" si="3"/>
        <v>15</v>
      </c>
      <c r="K39" s="171">
        <f t="shared" si="3"/>
        <v>16</v>
      </c>
      <c r="L39" s="172">
        <f t="shared" si="3"/>
        <v>17</v>
      </c>
      <c r="M39" s="173" t="s">
        <v>90</v>
      </c>
      <c r="N39" s="173"/>
      <c r="O39" s="68" t="s">
        <v>125</v>
      </c>
      <c r="P39" s="129"/>
      <c r="AA39"/>
    </row>
    <row r="40" spans="1:27" ht="18.600000000000001" thickBot="1" x14ac:dyDescent="0.35">
      <c r="A40" s="174" t="s">
        <v>156</v>
      </c>
      <c r="B40" s="175" t="s">
        <v>157</v>
      </c>
      <c r="C40" s="176">
        <v>6</v>
      </c>
      <c r="D40" s="177">
        <f t="shared" si="3"/>
        <v>7</v>
      </c>
      <c r="E40" s="176">
        <f t="shared" si="3"/>
        <v>8</v>
      </c>
      <c r="F40" s="177">
        <f t="shared" si="3"/>
        <v>9</v>
      </c>
      <c r="G40" s="176">
        <f t="shared" si="3"/>
        <v>10</v>
      </c>
      <c r="H40" s="177">
        <f t="shared" si="3"/>
        <v>11</v>
      </c>
      <c r="I40" s="176">
        <f t="shared" si="3"/>
        <v>12</v>
      </c>
      <c r="J40" s="177">
        <f t="shared" si="3"/>
        <v>13</v>
      </c>
      <c r="K40" s="176">
        <f t="shared" si="3"/>
        <v>14</v>
      </c>
      <c r="L40" s="177">
        <f t="shared" si="3"/>
        <v>15</v>
      </c>
      <c r="M40" s="178" t="s">
        <v>28</v>
      </c>
      <c r="N40" s="178"/>
      <c r="O40" s="179" t="s">
        <v>126</v>
      </c>
      <c r="P40" s="180"/>
    </row>
  </sheetData>
  <mergeCells count="17">
    <mergeCell ref="N20:P20"/>
    <mergeCell ref="M37:N37"/>
    <mergeCell ref="M38:N38"/>
    <mergeCell ref="M39:N39"/>
    <mergeCell ref="M40:N40"/>
    <mergeCell ref="C6:I6"/>
    <mergeCell ref="M6:O6"/>
    <mergeCell ref="C7:I7"/>
    <mergeCell ref="M7:O7"/>
    <mergeCell ref="C8:I8"/>
    <mergeCell ref="M8:O8"/>
    <mergeCell ref="C9:I9"/>
    <mergeCell ref="M9:O9"/>
    <mergeCell ref="C10:I10"/>
    <mergeCell ref="M10:O10"/>
    <mergeCell ref="C11:I11"/>
    <mergeCell ref="A14:B16"/>
  </mergeCells>
  <pageMargins left="0.19685039370078741" right="0.19685039370078741" top="0.3543307086614173" bottom="0.3543307086614173" header="0" footer="0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6C9D-052A-4A0F-9F62-A1EE62475AEE}">
  <dimension ref="A1:AA40"/>
  <sheetViews>
    <sheetView topLeftCell="A8" zoomScale="120" zoomScaleNormal="120" workbookViewId="0">
      <selection activeCell="E29" sqref="E29:E30"/>
    </sheetView>
  </sheetViews>
  <sheetFormatPr defaultRowHeight="14.4" x14ac:dyDescent="0.3"/>
  <cols>
    <col min="1" max="2" width="11.109375" style="2" customWidth="1"/>
    <col min="3" max="13" width="4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97" t="s">
        <v>0</v>
      </c>
      <c r="B1" s="98" t="s">
        <v>133</v>
      </c>
      <c r="C1" s="98"/>
      <c r="D1" s="99"/>
      <c r="E1" s="100"/>
      <c r="F1" s="101"/>
      <c r="G1" s="102" t="s">
        <v>151</v>
      </c>
      <c r="H1" s="98"/>
      <c r="I1" s="101"/>
      <c r="J1" s="103"/>
      <c r="K1" s="104" t="s">
        <v>34</v>
      </c>
      <c r="L1" s="99"/>
      <c r="M1" s="99"/>
      <c r="N1" s="105" t="s">
        <v>101</v>
      </c>
      <c r="O1" s="98"/>
      <c r="P1" s="106"/>
    </row>
    <row r="2" spans="1:16" ht="20.399999999999999" customHeight="1" x14ac:dyDescent="0.3">
      <c r="A2" s="107" t="s">
        <v>100</v>
      </c>
      <c r="B2" s="83" t="s">
        <v>81</v>
      </c>
      <c r="C2" s="83"/>
      <c r="D2" s="108"/>
      <c r="E2" s="84" t="s">
        <v>33</v>
      </c>
      <c r="F2" s="85"/>
      <c r="G2" s="85" t="s">
        <v>134</v>
      </c>
      <c r="H2" s="85"/>
      <c r="I2" s="86" t="s">
        <v>135</v>
      </c>
      <c r="J2" s="108"/>
      <c r="K2" s="109" t="s">
        <v>1</v>
      </c>
      <c r="L2" s="110"/>
      <c r="M2" s="110"/>
      <c r="N2" s="83" t="s">
        <v>55</v>
      </c>
      <c r="O2" s="83"/>
      <c r="P2" s="111"/>
    </row>
    <row r="3" spans="1:16" ht="9.6" customHeight="1" x14ac:dyDescent="0.3">
      <c r="A3" s="112"/>
      <c r="B3" s="68"/>
      <c r="C3" s="68"/>
      <c r="D3" s="68"/>
      <c r="E3" s="68"/>
      <c r="F3" s="68"/>
      <c r="G3" s="68"/>
      <c r="H3" s="68"/>
      <c r="I3" s="93"/>
      <c r="J3" s="93"/>
      <c r="K3" s="68"/>
      <c r="L3" s="68"/>
      <c r="M3" s="68"/>
      <c r="N3" s="68"/>
      <c r="O3" s="68"/>
      <c r="P3" s="113"/>
    </row>
    <row r="4" spans="1:16" ht="18.600000000000001" customHeight="1" x14ac:dyDescent="0.3">
      <c r="A4" s="114" t="s">
        <v>8</v>
      </c>
      <c r="B4" s="115">
        <v>9</v>
      </c>
      <c r="C4" s="116"/>
      <c r="D4" s="117" t="s">
        <v>37</v>
      </c>
      <c r="E4" s="116"/>
      <c r="F4" s="118">
        <v>18</v>
      </c>
      <c r="G4" s="118">
        <v>5</v>
      </c>
      <c r="H4" s="116"/>
      <c r="I4" s="116"/>
      <c r="J4" s="116"/>
      <c r="K4" s="120" t="s">
        <v>99</v>
      </c>
      <c r="L4" s="116"/>
      <c r="M4" s="121">
        <v>0</v>
      </c>
      <c r="N4" s="116"/>
      <c r="O4" s="117" t="s">
        <v>9</v>
      </c>
      <c r="P4" s="122">
        <v>21</v>
      </c>
    </row>
    <row r="5" spans="1:16" ht="19.8" customHeight="1" x14ac:dyDescent="0.3">
      <c r="A5" s="123" t="s">
        <v>29</v>
      </c>
      <c r="B5" s="78"/>
      <c r="C5" s="93"/>
      <c r="D5" s="93"/>
      <c r="E5" s="93"/>
      <c r="F5" s="93"/>
      <c r="G5" s="93"/>
      <c r="H5" s="93"/>
      <c r="I5" s="93"/>
      <c r="J5" s="93" t="s">
        <v>98</v>
      </c>
      <c r="K5" s="93"/>
      <c r="L5" s="93"/>
      <c r="M5" s="78" t="s">
        <v>10</v>
      </c>
      <c r="N5" s="77"/>
      <c r="O5" s="77"/>
      <c r="P5" s="124"/>
    </row>
    <row r="6" spans="1:16" ht="32.4" customHeight="1" x14ac:dyDescent="0.3">
      <c r="A6" s="125">
        <v>8</v>
      </c>
      <c r="B6" s="120" t="s">
        <v>2</v>
      </c>
      <c r="C6" s="126" t="s">
        <v>136</v>
      </c>
      <c r="D6" s="126"/>
      <c r="E6" s="126"/>
      <c r="F6" s="126"/>
      <c r="G6" s="126"/>
      <c r="H6" s="126"/>
      <c r="I6" s="126"/>
      <c r="J6" s="118">
        <v>-1</v>
      </c>
      <c r="K6" s="118"/>
      <c r="L6" s="93"/>
      <c r="M6" s="127" t="s">
        <v>56</v>
      </c>
      <c r="N6" s="127"/>
      <c r="O6" s="127"/>
      <c r="P6" s="128">
        <v>13</v>
      </c>
    </row>
    <row r="7" spans="1:16" ht="32.4" customHeight="1" x14ac:dyDescent="0.3">
      <c r="A7" s="125">
        <v>10</v>
      </c>
      <c r="B7" s="120" t="s">
        <v>3</v>
      </c>
      <c r="C7" s="126" t="s">
        <v>93</v>
      </c>
      <c r="D7" s="126"/>
      <c r="E7" s="126"/>
      <c r="F7" s="126"/>
      <c r="G7" s="126"/>
      <c r="H7" s="126"/>
      <c r="I7" s="126"/>
      <c r="J7" s="118">
        <v>0</v>
      </c>
      <c r="K7" s="118"/>
      <c r="L7" s="93"/>
      <c r="M7" s="127" t="s">
        <v>11</v>
      </c>
      <c r="N7" s="127"/>
      <c r="O7" s="127"/>
      <c r="P7" s="128">
        <v>14</v>
      </c>
    </row>
    <row r="8" spans="1:16" ht="32.4" customHeight="1" x14ac:dyDescent="0.3">
      <c r="A8" s="125">
        <v>13</v>
      </c>
      <c r="B8" s="120" t="s">
        <v>4</v>
      </c>
      <c r="C8" s="126" t="s">
        <v>137</v>
      </c>
      <c r="D8" s="126"/>
      <c r="E8" s="126"/>
      <c r="F8" s="126"/>
      <c r="G8" s="126"/>
      <c r="H8" s="126"/>
      <c r="I8" s="126"/>
      <c r="J8" s="118">
        <v>1</v>
      </c>
      <c r="K8" s="118"/>
      <c r="L8" s="93"/>
      <c r="M8" s="127" t="s">
        <v>14</v>
      </c>
      <c r="N8" s="127"/>
      <c r="O8" s="127"/>
      <c r="P8" s="128">
        <v>13</v>
      </c>
    </row>
    <row r="9" spans="1:16" ht="32.4" customHeight="1" x14ac:dyDescent="0.3">
      <c r="A9" s="125">
        <v>16</v>
      </c>
      <c r="B9" s="120" t="s">
        <v>5</v>
      </c>
      <c r="C9" s="126" t="s">
        <v>138</v>
      </c>
      <c r="D9" s="126"/>
      <c r="E9" s="126"/>
      <c r="F9" s="126"/>
      <c r="G9" s="126"/>
      <c r="H9" s="126"/>
      <c r="I9" s="126"/>
      <c r="J9" s="118">
        <v>2</v>
      </c>
      <c r="K9" s="118"/>
      <c r="L9" s="93"/>
      <c r="M9" s="127" t="s">
        <v>12</v>
      </c>
      <c r="N9" s="127"/>
      <c r="O9" s="127"/>
      <c r="P9" s="128">
        <v>16</v>
      </c>
    </row>
    <row r="10" spans="1:16" ht="32.4" customHeight="1" x14ac:dyDescent="0.3">
      <c r="A10" s="125">
        <v>9</v>
      </c>
      <c r="B10" s="120" t="s">
        <v>6</v>
      </c>
      <c r="C10" s="126" t="s">
        <v>93</v>
      </c>
      <c r="D10" s="126"/>
      <c r="E10" s="126"/>
      <c r="F10" s="126"/>
      <c r="G10" s="126"/>
      <c r="H10" s="126"/>
      <c r="I10" s="126"/>
      <c r="J10" s="118">
        <v>0</v>
      </c>
      <c r="K10" s="118"/>
      <c r="L10" s="93"/>
      <c r="M10" s="127" t="s">
        <v>13</v>
      </c>
      <c r="N10" s="127"/>
      <c r="O10" s="127"/>
      <c r="P10" s="128">
        <v>15</v>
      </c>
    </row>
    <row r="11" spans="1:16" ht="32.4" customHeight="1" x14ac:dyDescent="0.3">
      <c r="A11" s="125">
        <v>8</v>
      </c>
      <c r="B11" s="120" t="s">
        <v>7</v>
      </c>
      <c r="C11" s="126" t="s">
        <v>139</v>
      </c>
      <c r="D11" s="126"/>
      <c r="E11" s="126"/>
      <c r="F11" s="126"/>
      <c r="G11" s="126"/>
      <c r="H11" s="126"/>
      <c r="I11" s="126"/>
      <c r="J11" s="118">
        <v>-1</v>
      </c>
      <c r="K11" s="118"/>
      <c r="L11" s="93"/>
      <c r="M11" s="93"/>
      <c r="N11" s="93"/>
      <c r="O11" s="93"/>
      <c r="P11" s="129"/>
    </row>
    <row r="12" spans="1:16" ht="8.4" customHeight="1" x14ac:dyDescent="0.3">
      <c r="A12" s="130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129"/>
    </row>
    <row r="13" spans="1:16" s="3" customFormat="1" ht="15.6" customHeight="1" x14ac:dyDescent="0.3">
      <c r="A13" s="131" t="s">
        <v>16</v>
      </c>
      <c r="B13" s="75"/>
      <c r="C13" s="67"/>
      <c r="D13" s="68"/>
      <c r="E13" s="75" t="s">
        <v>17</v>
      </c>
      <c r="F13" s="75"/>
      <c r="G13" s="75"/>
      <c r="H13" s="67"/>
      <c r="I13" s="132" t="s">
        <v>72</v>
      </c>
      <c r="J13" s="132" t="s">
        <v>73</v>
      </c>
      <c r="K13" s="132" t="s">
        <v>74</v>
      </c>
      <c r="L13" s="68"/>
      <c r="M13" s="68"/>
      <c r="N13" s="75" t="s">
        <v>61</v>
      </c>
      <c r="O13" s="76"/>
      <c r="P13" s="133"/>
    </row>
    <row r="14" spans="1:16" s="3" customFormat="1" ht="15.6" customHeight="1" x14ac:dyDescent="0.3">
      <c r="A14" s="134" t="s">
        <v>179</v>
      </c>
      <c r="B14" s="73"/>
      <c r="C14" s="68"/>
      <c r="D14" s="68"/>
      <c r="E14" s="67" t="s">
        <v>21</v>
      </c>
      <c r="F14" s="67"/>
      <c r="G14" s="68"/>
      <c r="H14" s="135" t="s">
        <v>77</v>
      </c>
      <c r="I14" s="136">
        <v>40</v>
      </c>
      <c r="J14" s="116">
        <f>K14*1.5</f>
        <v>12</v>
      </c>
      <c r="K14" s="116">
        <f>I14/5</f>
        <v>8</v>
      </c>
      <c r="L14" s="68"/>
      <c r="M14" s="68"/>
      <c r="N14" s="68" t="s">
        <v>142</v>
      </c>
      <c r="O14" s="68"/>
      <c r="P14" s="113"/>
    </row>
    <row r="15" spans="1:16" s="3" customFormat="1" ht="15.6" customHeight="1" x14ac:dyDescent="0.3">
      <c r="A15" s="137"/>
      <c r="B15" s="74"/>
      <c r="C15" s="68"/>
      <c r="D15" s="68"/>
      <c r="E15" s="138" t="s">
        <v>38</v>
      </c>
      <c r="F15" s="138"/>
      <c r="G15" s="139"/>
      <c r="H15" s="140" t="s">
        <v>78</v>
      </c>
      <c r="I15" s="141">
        <f>I14*3</f>
        <v>120</v>
      </c>
      <c r="J15" s="141">
        <f>K15*1.5</f>
        <v>36</v>
      </c>
      <c r="K15" s="141">
        <f t="shared" ref="K15:K18" si="0">I15/5</f>
        <v>24</v>
      </c>
      <c r="L15" s="68"/>
      <c r="M15" s="68"/>
      <c r="N15" s="68" t="s">
        <v>143</v>
      </c>
      <c r="O15" s="68"/>
      <c r="P15" s="113"/>
    </row>
    <row r="16" spans="1:16" s="3" customFormat="1" ht="15.6" customHeight="1" x14ac:dyDescent="0.3">
      <c r="A16" s="137"/>
      <c r="B16" s="74"/>
      <c r="C16" s="68"/>
      <c r="D16" s="68"/>
      <c r="E16" s="67" t="s">
        <v>18</v>
      </c>
      <c r="F16" s="67"/>
      <c r="G16" s="68"/>
      <c r="H16" s="135" t="s">
        <v>77</v>
      </c>
      <c r="I16" s="136">
        <f>I14*3</f>
        <v>120</v>
      </c>
      <c r="J16" s="116">
        <f>K16*1.5</f>
        <v>36</v>
      </c>
      <c r="K16" s="116">
        <f t="shared" si="0"/>
        <v>24</v>
      </c>
      <c r="L16" s="68"/>
      <c r="M16" s="68"/>
      <c r="N16" s="68" t="s">
        <v>65</v>
      </c>
      <c r="O16" s="68"/>
      <c r="P16" s="113"/>
    </row>
    <row r="17" spans="1:16" s="3" customFormat="1" ht="15.6" customHeight="1" x14ac:dyDescent="0.3">
      <c r="A17" s="142" t="s">
        <v>214</v>
      </c>
      <c r="B17" s="143"/>
      <c r="C17" s="68"/>
      <c r="D17" s="68"/>
      <c r="E17" s="138" t="s">
        <v>35</v>
      </c>
      <c r="F17" s="138"/>
      <c r="G17" s="139"/>
      <c r="H17" s="140" t="s">
        <v>77</v>
      </c>
      <c r="I17" s="141">
        <f>I14/2</f>
        <v>20</v>
      </c>
      <c r="J17" s="141">
        <f>K17*1.5</f>
        <v>6</v>
      </c>
      <c r="K17" s="141">
        <f t="shared" si="0"/>
        <v>4</v>
      </c>
      <c r="L17" s="68"/>
      <c r="M17" s="68"/>
      <c r="N17" s="68" t="s">
        <v>144</v>
      </c>
      <c r="O17" s="68"/>
      <c r="P17" s="113"/>
    </row>
    <row r="18" spans="1:16" s="3" customFormat="1" ht="15.6" customHeight="1" x14ac:dyDescent="0.3">
      <c r="A18" s="142" t="s">
        <v>102</v>
      </c>
      <c r="B18" s="144"/>
      <c r="C18" s="68"/>
      <c r="D18" s="68"/>
      <c r="E18" s="67" t="s">
        <v>36</v>
      </c>
      <c r="F18" s="67"/>
      <c r="G18" s="68"/>
      <c r="H18" s="135" t="s">
        <v>77</v>
      </c>
      <c r="I18" s="136">
        <f>I14/2</f>
        <v>20</v>
      </c>
      <c r="J18" s="116">
        <f>K18*1.5</f>
        <v>6</v>
      </c>
      <c r="K18" s="116">
        <f t="shared" si="0"/>
        <v>4</v>
      </c>
      <c r="L18" s="68"/>
      <c r="M18" s="68"/>
      <c r="N18" s="68"/>
      <c r="O18" s="68"/>
      <c r="P18" s="113"/>
    </row>
    <row r="19" spans="1:16" s="3" customFormat="1" ht="15.6" customHeight="1" x14ac:dyDescent="0.3">
      <c r="A19" s="145"/>
      <c r="B19" s="94"/>
      <c r="C19" s="68"/>
      <c r="D19" s="68"/>
      <c r="E19" s="138" t="s">
        <v>22</v>
      </c>
      <c r="F19" s="138"/>
      <c r="G19" s="139"/>
      <c r="H19" s="140" t="s">
        <v>79</v>
      </c>
      <c r="I19" s="146" t="s">
        <v>141</v>
      </c>
      <c r="J19" s="146" t="s">
        <v>140</v>
      </c>
      <c r="K19" s="146"/>
      <c r="L19" s="68"/>
      <c r="M19" s="68"/>
      <c r="N19" s="68"/>
      <c r="O19" s="68"/>
      <c r="P19" s="113"/>
    </row>
    <row r="20" spans="1:16" s="3" customFormat="1" ht="15.6" customHeight="1" x14ac:dyDescent="0.3">
      <c r="A20" s="147" t="s">
        <v>254</v>
      </c>
      <c r="B20" s="91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148"/>
      <c r="O20" s="148"/>
      <c r="P20" s="149"/>
    </row>
    <row r="21" spans="1:16" s="3" customFormat="1" ht="15.6" customHeight="1" x14ac:dyDescent="0.3">
      <c r="A21" s="145" t="s">
        <v>255</v>
      </c>
      <c r="B21" s="96"/>
      <c r="C21" s="68"/>
      <c r="D21" s="68"/>
      <c r="E21" s="150" t="str">
        <f>'Cleric A'!E21</f>
        <v>Carica, Ritirata difensiva, Difesa totale</v>
      </c>
      <c r="F21" s="68"/>
      <c r="G21" s="68"/>
      <c r="H21" s="68"/>
      <c r="I21" s="68"/>
      <c r="J21" s="68"/>
      <c r="K21" s="68"/>
      <c r="L21" s="68"/>
      <c r="M21" s="68"/>
      <c r="N21" s="68"/>
      <c r="O21" s="151"/>
      <c r="P21" s="152"/>
    </row>
    <row r="22" spans="1:16" ht="15.6" customHeight="1" x14ac:dyDescent="0.3">
      <c r="A22" s="153" t="s">
        <v>256</v>
      </c>
      <c r="B22" s="92"/>
      <c r="C22" s="93"/>
      <c r="D22" s="93"/>
      <c r="E22" s="150" t="str">
        <f>'Cleric A'!E22</f>
        <v>Spinta, Disarmo, Parare (F), Colpo potente (F)</v>
      </c>
      <c r="F22" s="93"/>
      <c r="G22" s="93"/>
      <c r="H22" s="93"/>
      <c r="I22" s="93"/>
      <c r="J22" s="93"/>
      <c r="K22" s="93"/>
      <c r="L22" s="93"/>
      <c r="M22" s="93"/>
      <c r="N22" s="154"/>
      <c r="O22" s="154" t="s">
        <v>47</v>
      </c>
      <c r="P22" s="155">
        <v>4</v>
      </c>
    </row>
    <row r="23" spans="1:16" ht="15.6" customHeight="1" x14ac:dyDescent="0.3">
      <c r="A23" s="145" t="s">
        <v>257</v>
      </c>
      <c r="B23" s="96"/>
      <c r="C23" s="93"/>
      <c r="D23" s="93"/>
      <c r="E23" s="150" t="str">
        <f>'Cleric A'!E23</f>
        <v>Afferrrare, Liberarsi da presa, Azione Pronta</v>
      </c>
      <c r="F23" s="93"/>
      <c r="G23" s="93"/>
      <c r="H23" s="93"/>
      <c r="I23" s="93"/>
      <c r="J23" s="93"/>
      <c r="K23" s="93"/>
      <c r="L23" s="93"/>
      <c r="M23" s="67"/>
      <c r="N23" s="156"/>
      <c r="O23" s="96"/>
      <c r="P23" s="157"/>
    </row>
    <row r="24" spans="1:16" ht="15.6" customHeight="1" x14ac:dyDescent="0.3">
      <c r="A24" s="153" t="s">
        <v>258</v>
      </c>
      <c r="B24" s="92"/>
      <c r="C24" s="93"/>
      <c r="D24" s="93"/>
      <c r="E24" s="150" t="str">
        <f>'Cleric A'!E24</f>
        <v xml:space="preserve">Attraversare alleati ©, Passare posizione © , </v>
      </c>
      <c r="F24" s="93"/>
      <c r="G24" s="93"/>
      <c r="H24" s="93"/>
      <c r="I24" s="93"/>
      <c r="J24" s="93"/>
      <c r="K24" s="93"/>
      <c r="L24" s="93"/>
      <c r="M24" s="67"/>
      <c r="N24" s="90"/>
      <c r="O24" s="90" t="s">
        <v>248</v>
      </c>
      <c r="P24" s="158" t="s">
        <v>249</v>
      </c>
    </row>
    <row r="25" spans="1:16" ht="15.6" customHeight="1" x14ac:dyDescent="0.3">
      <c r="A25" s="145" t="s">
        <v>259</v>
      </c>
      <c r="B25" s="96"/>
      <c r="C25" s="93"/>
      <c r="D25" s="93"/>
      <c r="E25" s="150" t="str">
        <f>'Cleric A'!E25</f>
        <v>Azione pronta, Preparare per carica</v>
      </c>
      <c r="F25" s="93"/>
      <c r="G25" s="93"/>
      <c r="H25" s="93"/>
      <c r="I25" s="93"/>
      <c r="J25" s="93"/>
      <c r="K25" s="93"/>
      <c r="L25" s="93"/>
      <c r="M25" s="93"/>
      <c r="N25" s="160" t="s">
        <v>43</v>
      </c>
      <c r="O25" s="96"/>
      <c r="P25" s="161"/>
    </row>
    <row r="26" spans="1:16" ht="15.6" customHeight="1" x14ac:dyDescent="0.3">
      <c r="A26" s="153" t="s">
        <v>85</v>
      </c>
      <c r="B26" s="92"/>
      <c r="C26" s="93"/>
      <c r="D26" s="93"/>
      <c r="E26" s="150" t="str">
        <f>'Cleric A'!E26</f>
        <v>Prone: +2 TxC nemici, metà mov per alzarsi</v>
      </c>
      <c r="F26" s="93"/>
      <c r="G26" s="93"/>
      <c r="H26" s="93"/>
      <c r="I26" s="93"/>
      <c r="J26" s="93"/>
      <c r="K26" s="93"/>
      <c r="L26" s="93"/>
      <c r="M26" s="93"/>
      <c r="N26" s="160" t="s">
        <v>40</v>
      </c>
      <c r="O26" s="96"/>
      <c r="P26" s="161">
        <v>500</v>
      </c>
    </row>
    <row r="27" spans="1:16" ht="15.6" customHeight="1" x14ac:dyDescent="0.3">
      <c r="A27" s="162" t="s">
        <v>260</v>
      </c>
      <c r="B27" s="87"/>
      <c r="C27" s="93"/>
      <c r="D27" s="93"/>
      <c r="E27" s="150" t="str">
        <f>'Cleric A'!E27</f>
        <v>Copertura: Parziale -2 TxC | Totale -4 TxC</v>
      </c>
      <c r="F27" s="93"/>
      <c r="G27" s="93"/>
      <c r="H27" s="93"/>
      <c r="I27" s="93"/>
      <c r="J27" s="93"/>
      <c r="K27" s="93"/>
      <c r="L27" s="93"/>
      <c r="M27" s="93"/>
      <c r="N27" s="160" t="s">
        <v>44</v>
      </c>
      <c r="O27" s="96"/>
      <c r="P27" s="161"/>
    </row>
    <row r="28" spans="1:16" ht="15.6" customHeight="1" x14ac:dyDescent="0.3">
      <c r="A28" s="130"/>
      <c r="B28" s="93"/>
      <c r="C28" s="93"/>
      <c r="D28" s="93"/>
      <c r="E28" s="150" t="str">
        <f>'Cleric A'!E28</f>
        <v>Tiro oltre 1* alleato: -2 TxC, 1 Colpito Alleato</v>
      </c>
      <c r="F28" s="93"/>
      <c r="G28" s="93"/>
      <c r="H28" s="93"/>
      <c r="I28" s="93"/>
      <c r="J28" s="93"/>
      <c r="K28" s="93"/>
      <c r="L28" s="93"/>
      <c r="M28" s="93"/>
      <c r="N28" s="160" t="s">
        <v>41</v>
      </c>
      <c r="O28" s="96"/>
      <c r="P28" s="161"/>
    </row>
    <row r="29" spans="1:16" ht="15.6" customHeight="1" x14ac:dyDescent="0.3">
      <c r="A29" s="162"/>
      <c r="B29" s="87"/>
      <c r="C29" s="93"/>
      <c r="D29" s="93"/>
      <c r="E29" s="150" t="str">
        <f>'Cleric A'!E29</f>
        <v>Distanza:   corta +1, lunga -1</v>
      </c>
      <c r="F29" s="93"/>
      <c r="G29" s="93"/>
      <c r="H29" s="93"/>
      <c r="I29" s="93"/>
      <c r="J29" s="93"/>
      <c r="K29" s="93"/>
      <c r="L29" s="93"/>
      <c r="M29" s="93"/>
      <c r="N29" s="164"/>
      <c r="O29" s="154" t="s">
        <v>47</v>
      </c>
      <c r="P29" s="155">
        <v>5</v>
      </c>
    </row>
    <row r="30" spans="1:16" x14ac:dyDescent="0.3">
      <c r="A30" s="162"/>
      <c r="B30" s="87"/>
      <c r="C30" s="93"/>
      <c r="D30" s="93"/>
      <c r="E30" s="150" t="str">
        <f>'Cleric A'!E30</f>
        <v>Copertura vs area: Parz. +2 TS, Quasi tot. +4 TS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129"/>
    </row>
    <row r="31" spans="1:16" ht="15.6" customHeight="1" x14ac:dyDescent="0.3">
      <c r="A31" s="130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129"/>
    </row>
    <row r="32" spans="1:16" ht="15.6" x14ac:dyDescent="0.3">
      <c r="A32" s="131" t="s">
        <v>42</v>
      </c>
      <c r="B32" s="75"/>
      <c r="C32" s="82" t="s">
        <v>104</v>
      </c>
      <c r="D32" s="77"/>
      <c r="E32" s="82" t="s">
        <v>105</v>
      </c>
      <c r="F32" s="77"/>
      <c r="G32" s="82" t="s">
        <v>106</v>
      </c>
      <c r="H32" s="77"/>
      <c r="I32" s="82"/>
      <c r="J32" s="77"/>
      <c r="K32" s="77"/>
      <c r="L32" s="93"/>
      <c r="M32" s="93"/>
      <c r="N32" s="75" t="s">
        <v>29</v>
      </c>
      <c r="O32" s="77"/>
      <c r="P32" s="124"/>
    </row>
    <row r="33" spans="1:27" x14ac:dyDescent="0.3">
      <c r="A33" s="181" t="s">
        <v>30</v>
      </c>
      <c r="B33" s="93" t="s">
        <v>149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 t="s">
        <v>59</v>
      </c>
      <c r="O33" s="93"/>
      <c r="P33" s="129"/>
    </row>
    <row r="34" spans="1:27" x14ac:dyDescent="0.3">
      <c r="A34" s="181" t="s">
        <v>31</v>
      </c>
      <c r="B34" s="93" t="s">
        <v>150</v>
      </c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 t="s">
        <v>32</v>
      </c>
      <c r="O34" s="93"/>
      <c r="P34" s="129"/>
    </row>
    <row r="35" spans="1:27" x14ac:dyDescent="0.3">
      <c r="A35" s="181" t="s">
        <v>39</v>
      </c>
      <c r="B35" s="93" t="s">
        <v>148</v>
      </c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 t="s">
        <v>60</v>
      </c>
      <c r="O35" s="93"/>
      <c r="P35" s="129"/>
    </row>
    <row r="36" spans="1:27" x14ac:dyDescent="0.3">
      <c r="A36" s="130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169" t="s">
        <v>213</v>
      </c>
      <c r="M36" s="93"/>
      <c r="N36" s="93"/>
      <c r="O36" s="93"/>
      <c r="P36" s="129"/>
    </row>
    <row r="37" spans="1:27" ht="15.6" x14ac:dyDescent="0.3">
      <c r="A37" s="170" t="s">
        <v>15</v>
      </c>
      <c r="B37" s="79" t="s">
        <v>19</v>
      </c>
      <c r="C37" s="81" t="s">
        <v>20</v>
      </c>
      <c r="D37" s="80">
        <v>8</v>
      </c>
      <c r="E37" s="81">
        <f>D37-1</f>
        <v>7</v>
      </c>
      <c r="F37" s="80">
        <f t="shared" ref="F37:L37" si="1">E37-1</f>
        <v>6</v>
      </c>
      <c r="G37" s="81">
        <f t="shared" si="1"/>
        <v>5</v>
      </c>
      <c r="H37" s="80">
        <f t="shared" si="1"/>
        <v>4</v>
      </c>
      <c r="I37" s="81">
        <f t="shared" si="1"/>
        <v>3</v>
      </c>
      <c r="J37" s="80">
        <f t="shared" si="1"/>
        <v>2</v>
      </c>
      <c r="K37" s="81">
        <f t="shared" si="1"/>
        <v>1</v>
      </c>
      <c r="L37" s="80">
        <f t="shared" si="1"/>
        <v>0</v>
      </c>
      <c r="M37" s="57" t="s">
        <v>26</v>
      </c>
      <c r="N37" s="57"/>
      <c r="O37" s="75" t="s">
        <v>27</v>
      </c>
      <c r="P37" s="124"/>
    </row>
    <row r="38" spans="1:27" ht="18" x14ac:dyDescent="0.3">
      <c r="A38" s="167" t="s">
        <v>145</v>
      </c>
      <c r="B38" s="116" t="s">
        <v>23</v>
      </c>
      <c r="C38" s="171">
        <v>11</v>
      </c>
      <c r="D38" s="172">
        <f>C38+1</f>
        <v>12</v>
      </c>
      <c r="E38" s="171">
        <f t="shared" ref="E38:L38" si="2">D38+1</f>
        <v>13</v>
      </c>
      <c r="F38" s="172">
        <f t="shared" si="2"/>
        <v>14</v>
      </c>
      <c r="G38" s="171">
        <f t="shared" si="2"/>
        <v>15</v>
      </c>
      <c r="H38" s="172">
        <f t="shared" si="2"/>
        <v>16</v>
      </c>
      <c r="I38" s="171">
        <f t="shared" si="2"/>
        <v>17</v>
      </c>
      <c r="J38" s="172">
        <f t="shared" si="2"/>
        <v>18</v>
      </c>
      <c r="K38" s="171">
        <f t="shared" si="2"/>
        <v>19</v>
      </c>
      <c r="L38" s="172">
        <f t="shared" si="2"/>
        <v>20</v>
      </c>
      <c r="M38" s="58" t="s">
        <v>146</v>
      </c>
      <c r="N38" s="58"/>
      <c r="O38" s="93"/>
      <c r="P38" s="129"/>
    </row>
    <row r="39" spans="1:27" ht="18" x14ac:dyDescent="0.3">
      <c r="A39" s="167" t="s">
        <v>24</v>
      </c>
      <c r="B39" s="116" t="s">
        <v>23</v>
      </c>
      <c r="C39" s="171">
        <v>11</v>
      </c>
      <c r="D39" s="172">
        <f t="shared" ref="D39:L40" si="3">C39+1</f>
        <v>12</v>
      </c>
      <c r="E39" s="171">
        <f t="shared" si="3"/>
        <v>13</v>
      </c>
      <c r="F39" s="172">
        <f t="shared" si="3"/>
        <v>14</v>
      </c>
      <c r="G39" s="171">
        <f t="shared" si="3"/>
        <v>15</v>
      </c>
      <c r="H39" s="172">
        <f t="shared" si="3"/>
        <v>16</v>
      </c>
      <c r="I39" s="171">
        <f t="shared" si="3"/>
        <v>17</v>
      </c>
      <c r="J39" s="172">
        <f t="shared" si="3"/>
        <v>18</v>
      </c>
      <c r="K39" s="171">
        <f t="shared" si="3"/>
        <v>19</v>
      </c>
      <c r="L39" s="172">
        <f t="shared" si="3"/>
        <v>20</v>
      </c>
      <c r="M39" s="173" t="s">
        <v>146</v>
      </c>
      <c r="N39" s="173"/>
      <c r="O39" s="68"/>
      <c r="P39" s="129"/>
      <c r="AA39"/>
    </row>
    <row r="40" spans="1:27" ht="18.600000000000001" thickBot="1" x14ac:dyDescent="0.35">
      <c r="A40" s="174" t="s">
        <v>24</v>
      </c>
      <c r="B40" s="175" t="s">
        <v>147</v>
      </c>
      <c r="C40" s="176">
        <v>10</v>
      </c>
      <c r="D40" s="177">
        <f t="shared" si="3"/>
        <v>11</v>
      </c>
      <c r="E40" s="176">
        <f t="shared" si="3"/>
        <v>12</v>
      </c>
      <c r="F40" s="177">
        <f t="shared" si="3"/>
        <v>13</v>
      </c>
      <c r="G40" s="176">
        <f t="shared" si="3"/>
        <v>14</v>
      </c>
      <c r="H40" s="177">
        <f t="shared" si="3"/>
        <v>15</v>
      </c>
      <c r="I40" s="176">
        <f t="shared" si="3"/>
        <v>16</v>
      </c>
      <c r="J40" s="177">
        <f t="shared" si="3"/>
        <v>17</v>
      </c>
      <c r="K40" s="176">
        <f t="shared" si="3"/>
        <v>18</v>
      </c>
      <c r="L40" s="177">
        <f t="shared" si="3"/>
        <v>19</v>
      </c>
      <c r="M40" s="178" t="s">
        <v>90</v>
      </c>
      <c r="N40" s="178"/>
      <c r="O40" s="179"/>
      <c r="P40" s="180"/>
    </row>
  </sheetData>
  <mergeCells count="17">
    <mergeCell ref="N20:P20"/>
    <mergeCell ref="M37:N37"/>
    <mergeCell ref="M38:N38"/>
    <mergeCell ref="M39:N39"/>
    <mergeCell ref="M40:N40"/>
    <mergeCell ref="C6:I6"/>
    <mergeCell ref="M6:O6"/>
    <mergeCell ref="C7:I7"/>
    <mergeCell ref="M7:O7"/>
    <mergeCell ref="C8:I8"/>
    <mergeCell ref="M8:O8"/>
    <mergeCell ref="C9:I9"/>
    <mergeCell ref="M9:O9"/>
    <mergeCell ref="C10:I10"/>
    <mergeCell ref="M10:O10"/>
    <mergeCell ref="C11:I11"/>
    <mergeCell ref="A14:B16"/>
  </mergeCells>
  <pageMargins left="0.19685039370078741" right="0.19685039370078741" top="0.3543307086614173" bottom="0.3543307086614173" header="0" footer="0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BBBE-C9DF-4D21-98BF-29E96594E7D0}">
  <dimension ref="A1:AA40"/>
  <sheetViews>
    <sheetView topLeftCell="A7" zoomScale="110" zoomScaleNormal="110" workbookViewId="0">
      <selection activeCell="I32" sqref="I32"/>
    </sheetView>
  </sheetViews>
  <sheetFormatPr defaultRowHeight="14.4" x14ac:dyDescent="0.3"/>
  <cols>
    <col min="1" max="2" width="11.109375" style="2" customWidth="1"/>
    <col min="3" max="13" width="4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97" t="s">
        <v>0</v>
      </c>
      <c r="B1" s="98" t="s">
        <v>111</v>
      </c>
      <c r="C1" s="98"/>
      <c r="D1" s="99"/>
      <c r="E1" s="100"/>
      <c r="F1" s="101"/>
      <c r="G1" s="102" t="s">
        <v>128</v>
      </c>
      <c r="H1" s="98"/>
      <c r="I1" s="101"/>
      <c r="J1" s="103"/>
      <c r="K1" s="104" t="s">
        <v>34</v>
      </c>
      <c r="L1" s="99"/>
      <c r="M1" s="99"/>
      <c r="N1" s="105" t="s">
        <v>101</v>
      </c>
      <c r="O1" s="98"/>
      <c r="P1" s="106"/>
    </row>
    <row r="2" spans="1:16" ht="20.399999999999999" customHeight="1" x14ac:dyDescent="0.3">
      <c r="A2" s="107" t="s">
        <v>100</v>
      </c>
      <c r="B2" s="83" t="s">
        <v>81</v>
      </c>
      <c r="C2" s="83"/>
      <c r="D2" s="108"/>
      <c r="E2" s="84" t="s">
        <v>33</v>
      </c>
      <c r="F2" s="85"/>
      <c r="G2" s="85" t="s">
        <v>112</v>
      </c>
      <c r="H2" s="85"/>
      <c r="I2" s="86" t="s">
        <v>135</v>
      </c>
      <c r="J2" s="108"/>
      <c r="K2" s="109" t="s">
        <v>1</v>
      </c>
      <c r="L2" s="110"/>
      <c r="M2" s="110"/>
      <c r="N2" s="83" t="s">
        <v>55</v>
      </c>
      <c r="O2" s="83"/>
      <c r="P2" s="111"/>
    </row>
    <row r="3" spans="1:16" ht="9.6" customHeight="1" x14ac:dyDescent="0.3">
      <c r="A3" s="112"/>
      <c r="B3" s="68"/>
      <c r="C3" s="68"/>
      <c r="D3" s="68"/>
      <c r="E3" s="68"/>
      <c r="F3" s="68"/>
      <c r="G3" s="68"/>
      <c r="H3" s="68"/>
      <c r="I3" s="93"/>
      <c r="J3" s="93"/>
      <c r="K3" s="68"/>
      <c r="L3" s="68"/>
      <c r="M3" s="68"/>
      <c r="N3" s="68"/>
      <c r="O3" s="68"/>
      <c r="P3" s="113"/>
    </row>
    <row r="4" spans="1:16" ht="18.600000000000001" customHeight="1" x14ac:dyDescent="0.3">
      <c r="A4" s="114" t="s">
        <v>8</v>
      </c>
      <c r="B4" s="115">
        <v>0</v>
      </c>
      <c r="C4" s="116"/>
      <c r="D4" s="117" t="s">
        <v>37</v>
      </c>
      <c r="E4" s="116"/>
      <c r="F4" s="118">
        <v>24</v>
      </c>
      <c r="G4" s="119" t="s">
        <v>117</v>
      </c>
      <c r="H4" s="116"/>
      <c r="I4" s="116"/>
      <c r="J4" s="116"/>
      <c r="K4" s="120" t="s">
        <v>99</v>
      </c>
      <c r="L4" s="116"/>
      <c r="M4" s="121">
        <v>1</v>
      </c>
      <c r="N4" s="116"/>
      <c r="O4" s="117" t="s">
        <v>9</v>
      </c>
      <c r="P4" s="122">
        <v>35</v>
      </c>
    </row>
    <row r="5" spans="1:16" ht="19.8" customHeight="1" x14ac:dyDescent="0.3">
      <c r="A5" s="123" t="s">
        <v>29</v>
      </c>
      <c r="B5" s="78"/>
      <c r="C5" s="93"/>
      <c r="D5" s="93"/>
      <c r="E5" s="93"/>
      <c r="F5" s="93"/>
      <c r="G5" s="93"/>
      <c r="H5" s="93"/>
      <c r="I5" s="93"/>
      <c r="J5" s="93" t="s">
        <v>98</v>
      </c>
      <c r="K5" s="93"/>
      <c r="L5" s="93"/>
      <c r="M5" s="78" t="s">
        <v>10</v>
      </c>
      <c r="N5" s="77"/>
      <c r="O5" s="77"/>
      <c r="P5" s="124"/>
    </row>
    <row r="6" spans="1:16" ht="32.4" customHeight="1" x14ac:dyDescent="0.3">
      <c r="A6" s="125">
        <v>17</v>
      </c>
      <c r="B6" s="120" t="s">
        <v>2</v>
      </c>
      <c r="C6" s="126" t="s">
        <v>122</v>
      </c>
      <c r="D6" s="126"/>
      <c r="E6" s="126"/>
      <c r="F6" s="126"/>
      <c r="G6" s="126"/>
      <c r="H6" s="126"/>
      <c r="I6" s="126"/>
      <c r="J6" s="118">
        <v>2</v>
      </c>
      <c r="K6" s="118"/>
      <c r="L6" s="93"/>
      <c r="M6" s="127" t="s">
        <v>56</v>
      </c>
      <c r="N6" s="127"/>
      <c r="O6" s="127"/>
      <c r="P6" s="128">
        <v>10</v>
      </c>
    </row>
    <row r="7" spans="1:16" ht="32.4" customHeight="1" x14ac:dyDescent="0.3">
      <c r="A7" s="125">
        <v>14</v>
      </c>
      <c r="B7" s="120" t="s">
        <v>3</v>
      </c>
      <c r="C7" s="126" t="s">
        <v>123</v>
      </c>
      <c r="D7" s="126"/>
      <c r="E7" s="126"/>
      <c r="F7" s="126"/>
      <c r="G7" s="126"/>
      <c r="H7" s="126"/>
      <c r="I7" s="126"/>
      <c r="J7" s="118">
        <v>1</v>
      </c>
      <c r="K7" s="118"/>
      <c r="L7" s="93"/>
      <c r="M7" s="127" t="s">
        <v>11</v>
      </c>
      <c r="N7" s="127"/>
      <c r="O7" s="127"/>
      <c r="P7" s="128">
        <v>13</v>
      </c>
    </row>
    <row r="8" spans="1:16" ht="32.4" customHeight="1" x14ac:dyDescent="0.3">
      <c r="A8" s="125">
        <v>11</v>
      </c>
      <c r="B8" s="120" t="s">
        <v>4</v>
      </c>
      <c r="C8" s="126" t="s">
        <v>93</v>
      </c>
      <c r="D8" s="126"/>
      <c r="E8" s="126"/>
      <c r="F8" s="126"/>
      <c r="G8" s="126"/>
      <c r="H8" s="126"/>
      <c r="I8" s="126"/>
      <c r="J8" s="118">
        <v>0</v>
      </c>
      <c r="K8" s="118"/>
      <c r="L8" s="93"/>
      <c r="M8" s="127" t="s">
        <v>14</v>
      </c>
      <c r="N8" s="127"/>
      <c r="O8" s="127"/>
      <c r="P8" s="128">
        <v>14</v>
      </c>
    </row>
    <row r="9" spans="1:16" ht="32.4" customHeight="1" x14ac:dyDescent="0.3">
      <c r="A9" s="125">
        <v>7</v>
      </c>
      <c r="B9" s="120" t="s">
        <v>5</v>
      </c>
      <c r="C9" s="126" t="s">
        <v>94</v>
      </c>
      <c r="D9" s="126"/>
      <c r="E9" s="126"/>
      <c r="F9" s="126"/>
      <c r="G9" s="126"/>
      <c r="H9" s="126"/>
      <c r="I9" s="126"/>
      <c r="J9" s="118">
        <v>-1</v>
      </c>
      <c r="K9" s="118"/>
      <c r="L9" s="93"/>
      <c r="M9" s="127" t="s">
        <v>12</v>
      </c>
      <c r="N9" s="127"/>
      <c r="O9" s="127"/>
      <c r="P9" s="128">
        <v>13</v>
      </c>
    </row>
    <row r="10" spans="1:16" ht="32.4" customHeight="1" x14ac:dyDescent="0.3">
      <c r="A10" s="125">
        <v>4</v>
      </c>
      <c r="B10" s="120" t="s">
        <v>6</v>
      </c>
      <c r="C10" s="126" t="s">
        <v>124</v>
      </c>
      <c r="D10" s="126"/>
      <c r="E10" s="126"/>
      <c r="F10" s="126"/>
      <c r="G10" s="126"/>
      <c r="H10" s="126"/>
      <c r="I10" s="126"/>
      <c r="J10" s="118">
        <v>-2</v>
      </c>
      <c r="K10" s="118"/>
      <c r="L10" s="93"/>
      <c r="M10" s="127" t="s">
        <v>13</v>
      </c>
      <c r="N10" s="127"/>
      <c r="O10" s="127"/>
      <c r="P10" s="128">
        <v>16</v>
      </c>
    </row>
    <row r="11" spans="1:16" ht="32.4" customHeight="1" x14ac:dyDescent="0.3">
      <c r="A11" s="125">
        <v>10</v>
      </c>
      <c r="B11" s="120" t="s">
        <v>7</v>
      </c>
      <c r="C11" s="126" t="s">
        <v>96</v>
      </c>
      <c r="D11" s="126"/>
      <c r="E11" s="126"/>
      <c r="F11" s="126"/>
      <c r="G11" s="126"/>
      <c r="H11" s="126"/>
      <c r="I11" s="126"/>
      <c r="J11" s="118">
        <v>0</v>
      </c>
      <c r="K11" s="118"/>
      <c r="L11" s="93"/>
      <c r="M11" s="93"/>
      <c r="N11" s="93"/>
      <c r="O11" s="93"/>
      <c r="P11" s="129"/>
    </row>
    <row r="12" spans="1:16" ht="8.4" customHeight="1" x14ac:dyDescent="0.3">
      <c r="A12" s="130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129"/>
    </row>
    <row r="13" spans="1:16" s="3" customFormat="1" ht="15.6" customHeight="1" x14ac:dyDescent="0.3">
      <c r="A13" s="131" t="s">
        <v>16</v>
      </c>
      <c r="B13" s="75"/>
      <c r="C13" s="67"/>
      <c r="D13" s="68"/>
      <c r="E13" s="75" t="s">
        <v>17</v>
      </c>
      <c r="F13" s="75"/>
      <c r="G13" s="75"/>
      <c r="H13" s="67"/>
      <c r="I13" s="132" t="s">
        <v>72</v>
      </c>
      <c r="J13" s="132" t="s">
        <v>73</v>
      </c>
      <c r="K13" s="132" t="s">
        <v>74</v>
      </c>
      <c r="L13" s="68"/>
      <c r="M13" s="68"/>
      <c r="N13" s="75" t="s">
        <v>61</v>
      </c>
      <c r="O13" s="76"/>
      <c r="P13" s="133"/>
    </row>
    <row r="14" spans="1:16" s="3" customFormat="1" ht="15.6" customHeight="1" x14ac:dyDescent="0.3">
      <c r="A14" s="134" t="s">
        <v>179</v>
      </c>
      <c r="B14" s="73"/>
      <c r="C14" s="68"/>
      <c r="D14" s="68"/>
      <c r="E14" s="67" t="s">
        <v>21</v>
      </c>
      <c r="F14" s="67"/>
      <c r="G14" s="68"/>
      <c r="H14" s="135" t="s">
        <v>77</v>
      </c>
      <c r="I14" s="136">
        <v>20</v>
      </c>
      <c r="J14" s="116">
        <f>K14*1.5</f>
        <v>6</v>
      </c>
      <c r="K14" s="116">
        <f>I14/5</f>
        <v>4</v>
      </c>
      <c r="L14" s="68"/>
      <c r="M14" s="68"/>
      <c r="N14" s="68" t="s">
        <v>62</v>
      </c>
      <c r="O14" s="68"/>
      <c r="P14" s="113"/>
    </row>
    <row r="15" spans="1:16" s="3" customFormat="1" ht="15.6" customHeight="1" x14ac:dyDescent="0.3">
      <c r="A15" s="137"/>
      <c r="B15" s="74"/>
      <c r="C15" s="68"/>
      <c r="D15" s="68"/>
      <c r="E15" s="138" t="s">
        <v>38</v>
      </c>
      <c r="F15" s="138"/>
      <c r="G15" s="139"/>
      <c r="H15" s="140" t="s">
        <v>78</v>
      </c>
      <c r="I15" s="141">
        <v>60</v>
      </c>
      <c r="J15" s="141">
        <f>K15*1.5</f>
        <v>18</v>
      </c>
      <c r="K15" s="141">
        <f t="shared" ref="K15:K18" si="0">I15/5</f>
        <v>12</v>
      </c>
      <c r="L15" s="68"/>
      <c r="M15" s="68"/>
      <c r="N15" s="68" t="s">
        <v>119</v>
      </c>
      <c r="O15" s="68"/>
      <c r="P15" s="113"/>
    </row>
    <row r="16" spans="1:16" s="3" customFormat="1" ht="15.6" customHeight="1" x14ac:dyDescent="0.3">
      <c r="A16" s="137"/>
      <c r="B16" s="74"/>
      <c r="C16" s="68"/>
      <c r="D16" s="68"/>
      <c r="E16" s="67" t="s">
        <v>18</v>
      </c>
      <c r="F16" s="67"/>
      <c r="G16" s="68"/>
      <c r="H16" s="135" t="s">
        <v>77</v>
      </c>
      <c r="I16" s="136">
        <v>60</v>
      </c>
      <c r="J16" s="116">
        <f>K16*1.5</f>
        <v>18</v>
      </c>
      <c r="K16" s="116">
        <f t="shared" si="0"/>
        <v>12</v>
      </c>
      <c r="L16" s="68"/>
      <c r="M16" s="68"/>
      <c r="N16" s="68" t="s">
        <v>120</v>
      </c>
      <c r="O16" s="68"/>
      <c r="P16" s="113"/>
    </row>
    <row r="17" spans="1:16" s="3" customFormat="1" ht="15.6" customHeight="1" x14ac:dyDescent="0.3">
      <c r="A17" s="142" t="s">
        <v>214</v>
      </c>
      <c r="B17" s="143"/>
      <c r="C17" s="68"/>
      <c r="D17" s="68"/>
      <c r="E17" s="138" t="s">
        <v>35</v>
      </c>
      <c r="F17" s="138"/>
      <c r="G17" s="139"/>
      <c r="H17" s="140" t="s">
        <v>77</v>
      </c>
      <c r="I17" s="141">
        <v>10</v>
      </c>
      <c r="J17" s="141">
        <f>K17*1.5</f>
        <v>3</v>
      </c>
      <c r="K17" s="141">
        <f t="shared" si="0"/>
        <v>2</v>
      </c>
      <c r="L17" s="68"/>
      <c r="M17" s="68"/>
      <c r="N17" s="68" t="s">
        <v>65</v>
      </c>
      <c r="O17" s="68"/>
      <c r="P17" s="113"/>
    </row>
    <row r="18" spans="1:16" s="3" customFormat="1" ht="15.6" customHeight="1" x14ac:dyDescent="0.3">
      <c r="A18" s="142" t="s">
        <v>102</v>
      </c>
      <c r="B18" s="144"/>
      <c r="C18" s="68"/>
      <c r="D18" s="68"/>
      <c r="E18" s="67" t="s">
        <v>36</v>
      </c>
      <c r="F18" s="67"/>
      <c r="G18" s="68"/>
      <c r="H18" s="135" t="s">
        <v>77</v>
      </c>
      <c r="I18" s="136">
        <v>10</v>
      </c>
      <c r="J18" s="116">
        <f>K18*1.5</f>
        <v>3</v>
      </c>
      <c r="K18" s="116">
        <f t="shared" si="0"/>
        <v>2</v>
      </c>
      <c r="L18" s="68"/>
      <c r="M18" s="68"/>
      <c r="N18" s="68" t="s">
        <v>121</v>
      </c>
      <c r="O18" s="68"/>
      <c r="P18" s="113"/>
    </row>
    <row r="19" spans="1:16" s="3" customFormat="1" ht="15.6" customHeight="1" x14ac:dyDescent="0.3">
      <c r="A19" s="145"/>
      <c r="B19" s="94"/>
      <c r="C19" s="68"/>
      <c r="D19" s="68"/>
      <c r="E19" s="138" t="s">
        <v>22</v>
      </c>
      <c r="F19" s="138"/>
      <c r="G19" s="139"/>
      <c r="H19" s="140" t="s">
        <v>79</v>
      </c>
      <c r="I19" s="146" t="s">
        <v>76</v>
      </c>
      <c r="J19" s="146" t="s">
        <v>75</v>
      </c>
      <c r="K19" s="146"/>
      <c r="L19" s="68"/>
      <c r="M19" s="68"/>
      <c r="N19" s="68" t="s">
        <v>67</v>
      </c>
      <c r="O19" s="68"/>
      <c r="P19" s="113"/>
    </row>
    <row r="20" spans="1:16" s="3" customFormat="1" ht="15.6" customHeight="1" x14ac:dyDescent="0.3">
      <c r="A20" s="147" t="s">
        <v>254</v>
      </c>
      <c r="B20" s="91"/>
      <c r="C20" s="68"/>
      <c r="D20" s="68"/>
      <c r="E20" s="150"/>
      <c r="F20" s="68"/>
      <c r="G20" s="68"/>
      <c r="H20" s="68"/>
      <c r="I20" s="68"/>
      <c r="J20" s="68"/>
      <c r="K20" s="68"/>
      <c r="L20" s="68"/>
      <c r="M20" s="68"/>
      <c r="N20" s="148" t="s">
        <v>127</v>
      </c>
      <c r="O20" s="148"/>
      <c r="P20" s="149"/>
    </row>
    <row r="21" spans="1:16" s="3" customFormat="1" ht="15.6" customHeight="1" x14ac:dyDescent="0.3">
      <c r="A21" s="145" t="s">
        <v>255</v>
      </c>
      <c r="B21" s="96"/>
      <c r="C21" s="68"/>
      <c r="D21" s="68"/>
      <c r="E21" s="150" t="str">
        <f>'Cleric A'!E21</f>
        <v>Carica, Ritirata difensiva, Difesa totale</v>
      </c>
      <c r="F21" s="68"/>
      <c r="G21" s="68"/>
      <c r="H21" s="68"/>
      <c r="I21" s="68"/>
      <c r="J21" s="68"/>
      <c r="K21" s="68"/>
      <c r="L21" s="68"/>
      <c r="M21" s="68"/>
      <c r="N21" s="68"/>
      <c r="O21" s="154"/>
      <c r="P21" s="155"/>
    </row>
    <row r="22" spans="1:16" ht="15.6" customHeight="1" x14ac:dyDescent="0.3">
      <c r="A22" s="153" t="s">
        <v>256</v>
      </c>
      <c r="B22" s="92"/>
      <c r="C22" s="93"/>
      <c r="D22" s="93"/>
      <c r="E22" s="150" t="str">
        <f>'Cleric A'!E22</f>
        <v>Spinta, Disarmo, Parare (F), Colpo potente (F)</v>
      </c>
      <c r="F22" s="68"/>
      <c r="G22" s="93"/>
      <c r="H22" s="93"/>
      <c r="I22" s="93"/>
      <c r="J22" s="93"/>
      <c r="K22" s="93"/>
      <c r="L22" s="93"/>
      <c r="M22" s="93"/>
      <c r="N22" s="68"/>
      <c r="O22" s="154" t="s">
        <v>47</v>
      </c>
      <c r="P22" s="155">
        <v>12</v>
      </c>
    </row>
    <row r="23" spans="1:16" ht="15.6" customHeight="1" x14ac:dyDescent="0.3">
      <c r="A23" s="145" t="s">
        <v>257</v>
      </c>
      <c r="B23" s="96"/>
      <c r="C23" s="93"/>
      <c r="D23" s="93"/>
      <c r="E23" s="150" t="str">
        <f>'Cleric A'!E23</f>
        <v>Afferrrare, Liberarsi da presa, Azione Pronta</v>
      </c>
      <c r="F23" s="93"/>
      <c r="G23" s="93"/>
      <c r="H23" s="93"/>
      <c r="I23" s="93"/>
      <c r="J23" s="93"/>
      <c r="K23" s="93"/>
      <c r="L23" s="93"/>
      <c r="M23" s="67"/>
      <c r="N23" s="185"/>
      <c r="O23" s="93"/>
      <c r="P23" s="129"/>
    </row>
    <row r="24" spans="1:16" ht="15.6" customHeight="1" x14ac:dyDescent="0.3">
      <c r="A24" s="153" t="s">
        <v>258</v>
      </c>
      <c r="B24" s="92"/>
      <c r="C24" s="93"/>
      <c r="D24" s="93"/>
      <c r="E24" s="150" t="str">
        <f>'Cleric A'!E24</f>
        <v xml:space="preserve">Attraversare alleati ©, Passare posizione © , </v>
      </c>
      <c r="F24" s="93"/>
      <c r="G24" s="93"/>
      <c r="H24" s="93"/>
      <c r="I24" s="93"/>
      <c r="J24" s="93"/>
      <c r="K24" s="93"/>
      <c r="L24" s="93"/>
      <c r="M24" s="67"/>
      <c r="N24" s="90"/>
      <c r="O24" s="90" t="s">
        <v>248</v>
      </c>
      <c r="P24" s="158" t="s">
        <v>249</v>
      </c>
    </row>
    <row r="25" spans="1:16" ht="15.6" customHeight="1" x14ac:dyDescent="0.3">
      <c r="A25" s="145" t="s">
        <v>259</v>
      </c>
      <c r="B25" s="96"/>
      <c r="C25" s="93"/>
      <c r="D25" s="93"/>
      <c r="E25" s="150" t="str">
        <f>'Cleric A'!E25</f>
        <v>Azione pronta, Preparare per carica</v>
      </c>
      <c r="F25" s="93"/>
      <c r="G25" s="93"/>
      <c r="H25" s="93"/>
      <c r="I25" s="93"/>
      <c r="J25" s="93"/>
      <c r="K25" s="93"/>
      <c r="L25" s="93"/>
      <c r="M25" s="93"/>
      <c r="N25" s="160" t="s">
        <v>43</v>
      </c>
      <c r="O25" s="96"/>
      <c r="P25" s="161"/>
    </row>
    <row r="26" spans="1:16" ht="15.6" customHeight="1" x14ac:dyDescent="0.3">
      <c r="A26" s="153" t="s">
        <v>85</v>
      </c>
      <c r="B26" s="92"/>
      <c r="C26" s="93"/>
      <c r="D26" s="93"/>
      <c r="E26" s="150" t="str">
        <f>'Cleric A'!E26</f>
        <v>Prone: +2 TxC nemici, metà mov per alzarsi</v>
      </c>
      <c r="F26" s="93"/>
      <c r="G26" s="93"/>
      <c r="H26" s="93"/>
      <c r="I26" s="93"/>
      <c r="J26" s="93"/>
      <c r="K26" s="93"/>
      <c r="L26" s="93"/>
      <c r="M26" s="93"/>
      <c r="N26" s="160" t="s">
        <v>40</v>
      </c>
      <c r="O26" s="96"/>
      <c r="P26" s="161">
        <v>500</v>
      </c>
    </row>
    <row r="27" spans="1:16" ht="15.6" customHeight="1" x14ac:dyDescent="0.3">
      <c r="A27" s="162" t="s">
        <v>260</v>
      </c>
      <c r="B27" s="87"/>
      <c r="C27" s="93"/>
      <c r="D27" s="93"/>
      <c r="E27" s="150" t="str">
        <f>'Cleric A'!E27</f>
        <v>Copertura: Parziale -2 TxC | Totale -4 TxC</v>
      </c>
      <c r="F27" s="93"/>
      <c r="G27" s="93"/>
      <c r="H27" s="93"/>
      <c r="I27" s="93"/>
      <c r="J27" s="93"/>
      <c r="K27" s="93"/>
      <c r="L27" s="93"/>
      <c r="M27" s="93"/>
      <c r="N27" s="160" t="s">
        <v>44</v>
      </c>
      <c r="O27" s="96"/>
      <c r="P27" s="161"/>
    </row>
    <row r="28" spans="1:16" ht="15.6" customHeight="1" x14ac:dyDescent="0.3">
      <c r="A28" s="130"/>
      <c r="B28" s="93"/>
      <c r="C28" s="93"/>
      <c r="D28" s="93"/>
      <c r="E28" s="150" t="str">
        <f>'Cleric A'!E28</f>
        <v>Tiro oltre 1* alleato: -2 TxC, 1 Colpito Alleato</v>
      </c>
      <c r="F28" s="93"/>
      <c r="G28" s="136"/>
      <c r="H28" s="93"/>
      <c r="I28" s="136"/>
      <c r="J28" s="93"/>
      <c r="K28" s="93"/>
      <c r="L28" s="93"/>
      <c r="M28" s="93"/>
      <c r="N28" s="160" t="s">
        <v>41</v>
      </c>
      <c r="O28" s="96"/>
      <c r="P28" s="161"/>
    </row>
    <row r="29" spans="1:16" ht="15.6" customHeight="1" x14ac:dyDescent="0.3">
      <c r="A29" s="162"/>
      <c r="B29" s="87"/>
      <c r="C29" s="93"/>
      <c r="D29" s="93"/>
      <c r="E29" s="150" t="str">
        <f>'Cleric A'!E29</f>
        <v>Distanza:   corta +1, lunga -1</v>
      </c>
      <c r="F29" s="93"/>
      <c r="G29" s="93"/>
      <c r="H29" s="93"/>
      <c r="I29" s="93"/>
      <c r="J29" s="93"/>
      <c r="K29" s="93"/>
      <c r="L29" s="93"/>
      <c r="M29" s="93"/>
      <c r="N29" s="164"/>
      <c r="O29" s="154" t="s">
        <v>47</v>
      </c>
      <c r="P29" s="155">
        <v>5</v>
      </c>
    </row>
    <row r="30" spans="1:16" x14ac:dyDescent="0.3">
      <c r="A30" s="130"/>
      <c r="B30" s="93"/>
      <c r="C30" s="93"/>
      <c r="D30" s="93"/>
      <c r="E30" s="150" t="str">
        <f>'Cleric A'!E30</f>
        <v>Copertura vs area: Parz. +2 TS, Quasi tot. +4 TS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129"/>
    </row>
    <row r="31" spans="1:16" ht="15.6" customHeight="1" x14ac:dyDescent="0.3">
      <c r="A31" s="182" t="s">
        <v>132</v>
      </c>
      <c r="B31" s="166"/>
      <c r="C31" s="166" t="s">
        <v>8</v>
      </c>
      <c r="D31" s="93"/>
      <c r="E31" s="150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129"/>
    </row>
    <row r="32" spans="1:16" ht="15.6" x14ac:dyDescent="0.3">
      <c r="A32" s="165" t="s">
        <v>131</v>
      </c>
      <c r="B32" s="168"/>
      <c r="C32" s="183">
        <v>0</v>
      </c>
      <c r="D32" s="93"/>
      <c r="E32" s="150"/>
      <c r="F32" s="93"/>
      <c r="G32" s="93"/>
      <c r="H32" s="93"/>
      <c r="I32" s="93"/>
      <c r="J32" s="93"/>
      <c r="K32" s="93"/>
      <c r="L32" s="93"/>
      <c r="M32" s="93"/>
      <c r="N32" s="75" t="s">
        <v>29</v>
      </c>
      <c r="O32" s="77"/>
      <c r="P32" s="124"/>
    </row>
    <row r="33" spans="1:27" x14ac:dyDescent="0.3">
      <c r="A33" s="165" t="s">
        <v>129</v>
      </c>
      <c r="B33" s="168"/>
      <c r="C33" s="168">
        <v>2</v>
      </c>
      <c r="D33" s="93"/>
      <c r="E33" s="150"/>
      <c r="F33" s="93"/>
      <c r="G33" s="93"/>
      <c r="H33" s="93"/>
      <c r="I33" s="93"/>
      <c r="J33" s="93"/>
      <c r="K33" s="93"/>
      <c r="L33" s="93"/>
      <c r="M33" s="93"/>
      <c r="N33" s="93" t="s">
        <v>59</v>
      </c>
      <c r="O33" s="93"/>
      <c r="P33" s="129"/>
    </row>
    <row r="34" spans="1:27" x14ac:dyDescent="0.3">
      <c r="A34" s="165" t="s">
        <v>130</v>
      </c>
      <c r="B34" s="168"/>
      <c r="C34" s="168">
        <v>2</v>
      </c>
      <c r="D34" s="93"/>
      <c r="E34" s="150"/>
      <c r="F34" s="93"/>
      <c r="G34" s="93"/>
      <c r="H34" s="93"/>
      <c r="I34" s="93"/>
      <c r="J34" s="93"/>
      <c r="K34" s="93"/>
      <c r="L34" s="93"/>
      <c r="M34" s="93"/>
      <c r="N34" s="93" t="s">
        <v>32</v>
      </c>
      <c r="O34" s="93"/>
      <c r="P34" s="129"/>
    </row>
    <row r="35" spans="1:27" x14ac:dyDescent="0.3">
      <c r="A35" s="165" t="s">
        <v>24</v>
      </c>
      <c r="B35" s="168"/>
      <c r="C35" s="168">
        <v>2</v>
      </c>
      <c r="D35" s="93"/>
      <c r="E35" s="150"/>
      <c r="F35" s="93"/>
      <c r="G35" s="93"/>
      <c r="H35" s="93"/>
      <c r="I35" s="93"/>
      <c r="J35" s="93"/>
      <c r="K35" s="93"/>
      <c r="L35" s="93"/>
      <c r="M35" s="93"/>
      <c r="N35" s="93" t="s">
        <v>60</v>
      </c>
      <c r="O35" s="93"/>
      <c r="P35" s="129"/>
    </row>
    <row r="36" spans="1:27" x14ac:dyDescent="0.3">
      <c r="A36" s="130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169" t="s">
        <v>213</v>
      </c>
      <c r="M36" s="93"/>
      <c r="N36" s="93"/>
      <c r="O36" s="93"/>
      <c r="P36" s="129"/>
    </row>
    <row r="37" spans="1:27" ht="15.6" x14ac:dyDescent="0.3">
      <c r="A37" s="170" t="s">
        <v>15</v>
      </c>
      <c r="B37" s="79" t="s">
        <v>19</v>
      </c>
      <c r="C37" s="81" t="s">
        <v>20</v>
      </c>
      <c r="D37" s="80">
        <v>8</v>
      </c>
      <c r="E37" s="81">
        <f>D37-1</f>
        <v>7</v>
      </c>
      <c r="F37" s="80">
        <f t="shared" ref="F37:L37" si="1">E37-1</f>
        <v>6</v>
      </c>
      <c r="G37" s="81">
        <f t="shared" si="1"/>
        <v>5</v>
      </c>
      <c r="H37" s="80">
        <f t="shared" si="1"/>
        <v>4</v>
      </c>
      <c r="I37" s="81">
        <f t="shared" si="1"/>
        <v>3</v>
      </c>
      <c r="J37" s="80">
        <f t="shared" si="1"/>
        <v>2</v>
      </c>
      <c r="K37" s="81">
        <f t="shared" si="1"/>
        <v>1</v>
      </c>
      <c r="L37" s="80">
        <f t="shared" si="1"/>
        <v>0</v>
      </c>
      <c r="M37" s="57" t="s">
        <v>26</v>
      </c>
      <c r="N37" s="57"/>
      <c r="O37" s="75" t="s">
        <v>27</v>
      </c>
      <c r="P37" s="124"/>
    </row>
    <row r="38" spans="1:27" ht="18" x14ac:dyDescent="0.3">
      <c r="A38" s="167" t="s">
        <v>113</v>
      </c>
      <c r="B38" s="116" t="s">
        <v>237</v>
      </c>
      <c r="C38" s="171">
        <v>5</v>
      </c>
      <c r="D38" s="172">
        <f>C38+1</f>
        <v>6</v>
      </c>
      <c r="E38" s="171">
        <f t="shared" ref="E38:L38" si="2">D38+1</f>
        <v>7</v>
      </c>
      <c r="F38" s="172">
        <f t="shared" si="2"/>
        <v>8</v>
      </c>
      <c r="G38" s="171">
        <f t="shared" si="2"/>
        <v>9</v>
      </c>
      <c r="H38" s="172">
        <f t="shared" si="2"/>
        <v>10</v>
      </c>
      <c r="I38" s="171">
        <f t="shared" si="2"/>
        <v>11</v>
      </c>
      <c r="J38" s="172">
        <f t="shared" si="2"/>
        <v>12</v>
      </c>
      <c r="K38" s="171">
        <f t="shared" si="2"/>
        <v>13</v>
      </c>
      <c r="L38" s="172">
        <f t="shared" si="2"/>
        <v>14</v>
      </c>
      <c r="M38" s="58" t="s">
        <v>114</v>
      </c>
      <c r="N38" s="58"/>
      <c r="O38" s="93" t="s">
        <v>118</v>
      </c>
      <c r="P38" s="129"/>
    </row>
    <row r="39" spans="1:27" ht="18" x14ac:dyDescent="0.3">
      <c r="A39" s="167" t="s">
        <v>24</v>
      </c>
      <c r="B39" s="116" t="s">
        <v>23</v>
      </c>
      <c r="C39" s="171">
        <v>6</v>
      </c>
      <c r="D39" s="172">
        <f t="shared" ref="D39:L40" si="3">C39+1</f>
        <v>7</v>
      </c>
      <c r="E39" s="171">
        <f t="shared" si="3"/>
        <v>8</v>
      </c>
      <c r="F39" s="172">
        <f t="shared" si="3"/>
        <v>9</v>
      </c>
      <c r="G39" s="171">
        <f t="shared" si="3"/>
        <v>10</v>
      </c>
      <c r="H39" s="172">
        <f t="shared" si="3"/>
        <v>11</v>
      </c>
      <c r="I39" s="171">
        <f t="shared" si="3"/>
        <v>12</v>
      </c>
      <c r="J39" s="172">
        <f t="shared" si="3"/>
        <v>13</v>
      </c>
      <c r="K39" s="171">
        <f t="shared" si="3"/>
        <v>14</v>
      </c>
      <c r="L39" s="172">
        <f t="shared" si="3"/>
        <v>15</v>
      </c>
      <c r="M39" s="173" t="s">
        <v>115</v>
      </c>
      <c r="N39" s="173"/>
      <c r="O39" s="68" t="s">
        <v>125</v>
      </c>
      <c r="P39" s="129"/>
      <c r="AA39"/>
    </row>
    <row r="40" spans="1:27" ht="18.600000000000001" thickBot="1" x14ac:dyDescent="0.35">
      <c r="A40" s="174" t="s">
        <v>25</v>
      </c>
      <c r="B40" s="175" t="s">
        <v>116</v>
      </c>
      <c r="C40" s="176">
        <v>7</v>
      </c>
      <c r="D40" s="177">
        <f t="shared" si="3"/>
        <v>8</v>
      </c>
      <c r="E40" s="176">
        <f t="shared" si="3"/>
        <v>9</v>
      </c>
      <c r="F40" s="177">
        <f t="shared" si="3"/>
        <v>10</v>
      </c>
      <c r="G40" s="176">
        <f t="shared" si="3"/>
        <v>11</v>
      </c>
      <c r="H40" s="177">
        <f t="shared" si="3"/>
        <v>12</v>
      </c>
      <c r="I40" s="176">
        <f t="shared" si="3"/>
        <v>13</v>
      </c>
      <c r="J40" s="177">
        <f t="shared" si="3"/>
        <v>14</v>
      </c>
      <c r="K40" s="176">
        <f t="shared" si="3"/>
        <v>15</v>
      </c>
      <c r="L40" s="177">
        <f t="shared" si="3"/>
        <v>16</v>
      </c>
      <c r="M40" s="178" t="s">
        <v>28</v>
      </c>
      <c r="N40" s="178"/>
      <c r="O40" s="179" t="s">
        <v>126</v>
      </c>
      <c r="P40" s="180"/>
    </row>
  </sheetData>
  <mergeCells count="17">
    <mergeCell ref="M37:N37"/>
    <mergeCell ref="M38:N38"/>
    <mergeCell ref="M39:N39"/>
    <mergeCell ref="M40:N40"/>
    <mergeCell ref="N20:P20"/>
    <mergeCell ref="A14:B16"/>
    <mergeCell ref="C6:I6"/>
    <mergeCell ref="M6:O6"/>
    <mergeCell ref="C7:I7"/>
    <mergeCell ref="M7:O7"/>
    <mergeCell ref="C8:I8"/>
    <mergeCell ref="M8:O8"/>
    <mergeCell ref="C9:I9"/>
    <mergeCell ref="M9:O9"/>
    <mergeCell ref="C10:I10"/>
    <mergeCell ref="M10:O10"/>
    <mergeCell ref="C11:I11"/>
  </mergeCells>
  <pageMargins left="0.19685039370078741" right="0.19685039370078741" top="0.3543307086614173" bottom="0.3543307086614173" header="0" footer="0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ECC3-3302-44DA-8376-3DD3643BBD45}">
  <dimension ref="A1:AA40"/>
  <sheetViews>
    <sheetView topLeftCell="A9" zoomScale="120" zoomScaleNormal="120" workbookViewId="0">
      <selection activeCell="D22" sqref="D22"/>
    </sheetView>
  </sheetViews>
  <sheetFormatPr defaultRowHeight="14.4" x14ac:dyDescent="0.3"/>
  <cols>
    <col min="1" max="2" width="11.109375" style="2" customWidth="1"/>
    <col min="3" max="13" width="4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97" t="s">
        <v>0</v>
      </c>
      <c r="B1" s="98" t="s">
        <v>54</v>
      </c>
      <c r="C1" s="98"/>
      <c r="D1" s="99"/>
      <c r="E1" s="100"/>
      <c r="F1" s="101"/>
      <c r="G1" s="102" t="s">
        <v>110</v>
      </c>
      <c r="H1" s="98"/>
      <c r="I1" s="101"/>
      <c r="J1" s="103"/>
      <c r="K1" s="104" t="s">
        <v>34</v>
      </c>
      <c r="L1" s="99"/>
      <c r="M1" s="99"/>
      <c r="N1" s="105" t="s">
        <v>101</v>
      </c>
      <c r="O1" s="98"/>
      <c r="P1" s="106"/>
    </row>
    <row r="2" spans="1:16" ht="20.399999999999999" customHeight="1" x14ac:dyDescent="0.3">
      <c r="A2" s="107" t="s">
        <v>100</v>
      </c>
      <c r="B2" s="83" t="s">
        <v>81</v>
      </c>
      <c r="C2" s="83"/>
      <c r="D2" s="108"/>
      <c r="E2" s="84" t="s">
        <v>33</v>
      </c>
      <c r="F2" s="85"/>
      <c r="G2" s="85" t="s">
        <v>108</v>
      </c>
      <c r="H2" s="85"/>
      <c r="I2" s="86" t="s">
        <v>109</v>
      </c>
      <c r="J2" s="108"/>
      <c r="K2" s="109" t="s">
        <v>1</v>
      </c>
      <c r="L2" s="110"/>
      <c r="M2" s="110"/>
      <c r="N2" s="83" t="s">
        <v>55</v>
      </c>
      <c r="O2" s="83"/>
      <c r="P2" s="111"/>
    </row>
    <row r="3" spans="1:16" ht="9.6" customHeight="1" x14ac:dyDescent="0.3">
      <c r="A3" s="112"/>
      <c r="B3" s="68"/>
      <c r="C3" s="68"/>
      <c r="D3" s="68"/>
      <c r="E3" s="68"/>
      <c r="F3" s="68"/>
      <c r="G3" s="68"/>
      <c r="H3" s="68"/>
      <c r="I3" s="93"/>
      <c r="J3" s="93"/>
      <c r="K3" s="68"/>
      <c r="L3" s="68"/>
      <c r="M3" s="68"/>
      <c r="N3" s="68"/>
      <c r="O3" s="68"/>
      <c r="P3" s="113"/>
    </row>
    <row r="4" spans="1:16" ht="18.600000000000001" customHeight="1" x14ac:dyDescent="0.3">
      <c r="A4" s="186" t="s">
        <v>8</v>
      </c>
      <c r="B4" s="187">
        <v>2</v>
      </c>
      <c r="C4" s="116"/>
      <c r="D4" s="93"/>
      <c r="E4" s="188" t="s">
        <v>47</v>
      </c>
      <c r="F4" s="118">
        <v>20</v>
      </c>
      <c r="G4" s="118" t="s">
        <v>69</v>
      </c>
      <c r="H4" s="116"/>
      <c r="I4" s="116"/>
      <c r="J4" s="189"/>
      <c r="K4" s="93"/>
      <c r="L4" s="190" t="s">
        <v>99</v>
      </c>
      <c r="M4" s="121">
        <v>-1</v>
      </c>
      <c r="N4" s="116"/>
      <c r="O4" s="188" t="s">
        <v>9</v>
      </c>
      <c r="P4" s="191">
        <v>31</v>
      </c>
    </row>
    <row r="5" spans="1:16" ht="19.8" customHeight="1" x14ac:dyDescent="0.3">
      <c r="A5" s="123" t="s">
        <v>29</v>
      </c>
      <c r="B5" s="78"/>
      <c r="C5" s="93"/>
      <c r="D5" s="93"/>
      <c r="E5" s="93"/>
      <c r="F5" s="93"/>
      <c r="G5" s="93"/>
      <c r="H5" s="93"/>
      <c r="I5" s="93"/>
      <c r="J5" s="93" t="s">
        <v>98</v>
      </c>
      <c r="K5" s="93"/>
      <c r="L5" s="93"/>
      <c r="M5" s="78" t="s">
        <v>10</v>
      </c>
      <c r="N5" s="77"/>
      <c r="O5" s="77"/>
      <c r="P5" s="124"/>
    </row>
    <row r="6" spans="1:16" ht="32.4" customHeight="1" x14ac:dyDescent="0.3">
      <c r="A6" s="125">
        <v>12</v>
      </c>
      <c r="B6" s="120" t="s">
        <v>2</v>
      </c>
      <c r="C6" s="126" t="s">
        <v>91</v>
      </c>
      <c r="D6" s="126"/>
      <c r="E6" s="126"/>
      <c r="F6" s="126"/>
      <c r="G6" s="126"/>
      <c r="H6" s="126"/>
      <c r="I6" s="126"/>
      <c r="J6" s="118">
        <v>0</v>
      </c>
      <c r="K6" s="118"/>
      <c r="L6" s="93"/>
      <c r="M6" s="127" t="s">
        <v>56</v>
      </c>
      <c r="N6" s="127"/>
      <c r="O6" s="127"/>
      <c r="P6" s="128">
        <v>9</v>
      </c>
    </row>
    <row r="7" spans="1:16" ht="32.4" customHeight="1" x14ac:dyDescent="0.3">
      <c r="A7" s="125">
        <v>6</v>
      </c>
      <c r="B7" s="120" t="s">
        <v>3</v>
      </c>
      <c r="C7" s="126" t="s">
        <v>92</v>
      </c>
      <c r="D7" s="126"/>
      <c r="E7" s="126"/>
      <c r="F7" s="126"/>
      <c r="G7" s="126"/>
      <c r="H7" s="126"/>
      <c r="I7" s="126"/>
      <c r="J7" s="118">
        <v>-1</v>
      </c>
      <c r="K7" s="118"/>
      <c r="L7" s="93"/>
      <c r="M7" s="127" t="s">
        <v>11</v>
      </c>
      <c r="N7" s="127"/>
      <c r="O7" s="127"/>
      <c r="P7" s="128">
        <v>9</v>
      </c>
    </row>
    <row r="8" spans="1:16" ht="32.4" customHeight="1" x14ac:dyDescent="0.3">
      <c r="A8" s="125">
        <v>12</v>
      </c>
      <c r="B8" s="120" t="s">
        <v>4</v>
      </c>
      <c r="C8" s="126" t="s">
        <v>93</v>
      </c>
      <c r="D8" s="126"/>
      <c r="E8" s="126"/>
      <c r="F8" s="126"/>
      <c r="G8" s="126"/>
      <c r="H8" s="126"/>
      <c r="I8" s="126"/>
      <c r="J8" s="118">
        <v>0</v>
      </c>
      <c r="K8" s="118"/>
      <c r="L8" s="93"/>
      <c r="M8" s="127" t="s">
        <v>14</v>
      </c>
      <c r="N8" s="127"/>
      <c r="O8" s="127"/>
      <c r="P8" s="128">
        <v>11</v>
      </c>
    </row>
    <row r="9" spans="1:16" ht="32.4" customHeight="1" x14ac:dyDescent="0.3">
      <c r="A9" s="125">
        <v>7</v>
      </c>
      <c r="B9" s="120" t="s">
        <v>5</v>
      </c>
      <c r="C9" s="126" t="s">
        <v>94</v>
      </c>
      <c r="D9" s="126"/>
      <c r="E9" s="126"/>
      <c r="F9" s="126"/>
      <c r="G9" s="126"/>
      <c r="H9" s="126"/>
      <c r="I9" s="126"/>
      <c r="J9" s="118">
        <v>-1</v>
      </c>
      <c r="K9" s="118"/>
      <c r="L9" s="93"/>
      <c r="M9" s="127" t="s">
        <v>12</v>
      </c>
      <c r="N9" s="127"/>
      <c r="O9" s="127"/>
      <c r="P9" s="128">
        <v>14</v>
      </c>
    </row>
    <row r="10" spans="1:16" ht="32.4" customHeight="1" x14ac:dyDescent="0.3">
      <c r="A10" s="125">
        <v>13</v>
      </c>
      <c r="B10" s="120" t="s">
        <v>6</v>
      </c>
      <c r="C10" s="126" t="s">
        <v>95</v>
      </c>
      <c r="D10" s="126"/>
      <c r="E10" s="126"/>
      <c r="F10" s="126"/>
      <c r="G10" s="126"/>
      <c r="H10" s="126"/>
      <c r="I10" s="126"/>
      <c r="J10" s="118">
        <v>1</v>
      </c>
      <c r="K10" s="118"/>
      <c r="L10" s="93"/>
      <c r="M10" s="127" t="s">
        <v>13</v>
      </c>
      <c r="N10" s="127"/>
      <c r="O10" s="127"/>
      <c r="P10" s="128">
        <v>11</v>
      </c>
    </row>
    <row r="11" spans="1:16" ht="32.4" customHeight="1" x14ac:dyDescent="0.3">
      <c r="A11" s="125">
        <v>9</v>
      </c>
      <c r="B11" s="120" t="s">
        <v>7</v>
      </c>
      <c r="C11" s="126" t="s">
        <v>96</v>
      </c>
      <c r="D11" s="126"/>
      <c r="E11" s="126"/>
      <c r="F11" s="126"/>
      <c r="G11" s="126"/>
      <c r="H11" s="126"/>
      <c r="I11" s="126"/>
      <c r="J11" s="118">
        <v>0</v>
      </c>
      <c r="K11" s="118"/>
      <c r="L11" s="93"/>
      <c r="M11" s="93"/>
      <c r="N11" s="93"/>
      <c r="O11" s="93"/>
      <c r="P11" s="129"/>
    </row>
    <row r="12" spans="1:16" ht="8.4" customHeight="1" x14ac:dyDescent="0.3">
      <c r="A12" s="130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129"/>
    </row>
    <row r="13" spans="1:16" s="3" customFormat="1" ht="15.6" customHeight="1" x14ac:dyDescent="0.3">
      <c r="A13" s="131" t="s">
        <v>16</v>
      </c>
      <c r="B13" s="75"/>
      <c r="C13" s="67"/>
      <c r="D13" s="68"/>
      <c r="E13" s="75" t="s">
        <v>17</v>
      </c>
      <c r="F13" s="75"/>
      <c r="G13" s="75"/>
      <c r="H13" s="67"/>
      <c r="I13" s="132" t="s">
        <v>72</v>
      </c>
      <c r="J13" s="132" t="s">
        <v>73</v>
      </c>
      <c r="K13" s="132" t="s">
        <v>74</v>
      </c>
      <c r="L13" s="68"/>
      <c r="M13" s="68"/>
      <c r="N13" s="88" t="s">
        <v>61</v>
      </c>
      <c r="O13" s="89"/>
      <c r="P13" s="192"/>
    </row>
    <row r="14" spans="1:16" s="3" customFormat="1" ht="15.6" customHeight="1" x14ac:dyDescent="0.3">
      <c r="A14" s="134" t="s">
        <v>179</v>
      </c>
      <c r="B14" s="73"/>
      <c r="C14" s="68"/>
      <c r="D14" s="68"/>
      <c r="E14" s="67" t="s">
        <v>21</v>
      </c>
      <c r="F14" s="67"/>
      <c r="G14" s="68"/>
      <c r="H14" s="135" t="s">
        <v>77</v>
      </c>
      <c r="I14" s="136">
        <v>20</v>
      </c>
      <c r="J14" s="116">
        <f>K14*1.5</f>
        <v>6</v>
      </c>
      <c r="K14" s="116">
        <f>I14/5</f>
        <v>4</v>
      </c>
      <c r="L14" s="68"/>
      <c r="M14" s="68"/>
      <c r="N14" s="95" t="s">
        <v>62</v>
      </c>
      <c r="O14" s="95"/>
      <c r="P14" s="193"/>
    </row>
    <row r="15" spans="1:16" s="3" customFormat="1" ht="15.6" customHeight="1" x14ac:dyDescent="0.3">
      <c r="A15" s="137"/>
      <c r="B15" s="74"/>
      <c r="C15" s="68"/>
      <c r="D15" s="68"/>
      <c r="E15" s="138" t="s">
        <v>38</v>
      </c>
      <c r="F15" s="138"/>
      <c r="G15" s="139"/>
      <c r="H15" s="140" t="s">
        <v>78</v>
      </c>
      <c r="I15" s="141">
        <v>60</v>
      </c>
      <c r="J15" s="141">
        <f>K15*1.5</f>
        <v>18</v>
      </c>
      <c r="K15" s="141">
        <f t="shared" ref="K15:K18" si="0">I15/5</f>
        <v>12</v>
      </c>
      <c r="L15" s="68"/>
      <c r="M15" s="68"/>
      <c r="N15" s="95" t="s">
        <v>63</v>
      </c>
      <c r="O15" s="95"/>
      <c r="P15" s="193"/>
    </row>
    <row r="16" spans="1:16" s="3" customFormat="1" ht="15.6" customHeight="1" x14ac:dyDescent="0.3">
      <c r="A16" s="137"/>
      <c r="B16" s="74"/>
      <c r="C16" s="68"/>
      <c r="D16" s="68"/>
      <c r="E16" s="67" t="s">
        <v>18</v>
      </c>
      <c r="F16" s="67"/>
      <c r="G16" s="68"/>
      <c r="H16" s="135" t="s">
        <v>77</v>
      </c>
      <c r="I16" s="136">
        <v>60</v>
      </c>
      <c r="J16" s="116">
        <f>K16*1.5</f>
        <v>18</v>
      </c>
      <c r="K16" s="116">
        <f t="shared" si="0"/>
        <v>12</v>
      </c>
      <c r="L16" s="68"/>
      <c r="M16" s="68"/>
      <c r="N16" s="95" t="s">
        <v>64</v>
      </c>
      <c r="O16" s="95"/>
      <c r="P16" s="193"/>
    </row>
    <row r="17" spans="1:16" s="3" customFormat="1" ht="15.6" customHeight="1" x14ac:dyDescent="0.3">
      <c r="A17" s="142" t="s">
        <v>214</v>
      </c>
      <c r="B17" s="143"/>
      <c r="C17" s="68"/>
      <c r="D17" s="68"/>
      <c r="E17" s="138" t="s">
        <v>35</v>
      </c>
      <c r="F17" s="138"/>
      <c r="G17" s="139"/>
      <c r="H17" s="140" t="s">
        <v>77</v>
      </c>
      <c r="I17" s="141">
        <v>10</v>
      </c>
      <c r="J17" s="141">
        <f>K17*1.5</f>
        <v>3</v>
      </c>
      <c r="K17" s="141">
        <f t="shared" si="0"/>
        <v>2</v>
      </c>
      <c r="L17" s="68"/>
      <c r="M17" s="68"/>
      <c r="N17" s="95" t="s">
        <v>65</v>
      </c>
      <c r="O17" s="95"/>
      <c r="P17" s="193"/>
    </row>
    <row r="18" spans="1:16" s="3" customFormat="1" ht="15.6" customHeight="1" x14ac:dyDescent="0.3">
      <c r="A18" s="142" t="s">
        <v>102</v>
      </c>
      <c r="B18" s="144"/>
      <c r="C18" s="68"/>
      <c r="D18" s="68"/>
      <c r="E18" s="67" t="s">
        <v>36</v>
      </c>
      <c r="F18" s="67"/>
      <c r="G18" s="68"/>
      <c r="H18" s="135" t="s">
        <v>77</v>
      </c>
      <c r="I18" s="136">
        <v>10</v>
      </c>
      <c r="J18" s="116">
        <f>K18*1.5</f>
        <v>3</v>
      </c>
      <c r="K18" s="116">
        <f t="shared" si="0"/>
        <v>2</v>
      </c>
      <c r="L18" s="68"/>
      <c r="M18" s="68"/>
      <c r="N18" s="95" t="s">
        <v>66</v>
      </c>
      <c r="O18" s="95"/>
      <c r="P18" s="193"/>
    </row>
    <row r="19" spans="1:16" s="3" customFormat="1" ht="15.6" customHeight="1" x14ac:dyDescent="0.3">
      <c r="A19" s="145"/>
      <c r="B19" s="94"/>
      <c r="C19" s="68"/>
      <c r="D19" s="68"/>
      <c r="E19" s="138" t="s">
        <v>22</v>
      </c>
      <c r="F19" s="138"/>
      <c r="G19" s="139"/>
      <c r="H19" s="140" t="s">
        <v>79</v>
      </c>
      <c r="I19" s="146" t="s">
        <v>154</v>
      </c>
      <c r="J19" s="146" t="s">
        <v>75</v>
      </c>
      <c r="K19" s="146"/>
      <c r="L19" s="68"/>
      <c r="M19" s="68"/>
      <c r="N19" s="95" t="s">
        <v>97</v>
      </c>
      <c r="O19" s="95"/>
      <c r="P19" s="193"/>
    </row>
    <row r="20" spans="1:16" s="3" customFormat="1" ht="15.6" customHeight="1" x14ac:dyDescent="0.3">
      <c r="A20" s="201" t="s">
        <v>254</v>
      </c>
      <c r="B20" s="199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194" t="s">
        <v>67</v>
      </c>
      <c r="O20" s="194"/>
      <c r="P20" s="195"/>
    </row>
    <row r="21" spans="1:16" s="3" customFormat="1" ht="15.6" customHeight="1" x14ac:dyDescent="0.3">
      <c r="A21" s="202" t="s">
        <v>255</v>
      </c>
      <c r="B21" s="96"/>
      <c r="C21" s="68"/>
      <c r="D21" s="68"/>
      <c r="E21" s="150" t="s">
        <v>244</v>
      </c>
      <c r="F21" s="68"/>
      <c r="G21" s="68"/>
      <c r="H21" s="68"/>
      <c r="I21" s="68"/>
      <c r="J21" s="68"/>
      <c r="K21" s="68"/>
      <c r="L21" s="68"/>
      <c r="M21" s="68"/>
      <c r="N21" s="95"/>
      <c r="O21" s="95"/>
      <c r="P21" s="196"/>
    </row>
    <row r="22" spans="1:16" ht="15.6" customHeight="1" x14ac:dyDescent="0.3">
      <c r="A22" s="203" t="s">
        <v>256</v>
      </c>
      <c r="B22" s="92"/>
      <c r="C22" s="93"/>
      <c r="D22" s="93"/>
      <c r="E22" s="150" t="s">
        <v>246</v>
      </c>
      <c r="F22" s="93"/>
      <c r="G22" s="93"/>
      <c r="H22" s="93"/>
      <c r="I22" s="93"/>
      <c r="J22" s="93"/>
      <c r="K22" s="93"/>
      <c r="L22" s="93"/>
      <c r="M22" s="93"/>
      <c r="N22" s="154"/>
      <c r="O22" s="154" t="s">
        <v>47</v>
      </c>
      <c r="P22" s="155">
        <v>8</v>
      </c>
    </row>
    <row r="23" spans="1:16" ht="15.6" customHeight="1" x14ac:dyDescent="0.3">
      <c r="A23" s="202" t="s">
        <v>257</v>
      </c>
      <c r="B23" s="96"/>
      <c r="C23" s="93"/>
      <c r="D23" s="93"/>
      <c r="E23" s="150" t="s">
        <v>243</v>
      </c>
      <c r="F23" s="93"/>
      <c r="G23" s="93"/>
      <c r="H23" s="93"/>
      <c r="I23" s="93"/>
      <c r="J23" s="93"/>
      <c r="K23" s="93"/>
      <c r="L23" s="93"/>
      <c r="M23" s="67"/>
      <c r="N23" s="156"/>
      <c r="O23" s="96"/>
      <c r="P23" s="157"/>
    </row>
    <row r="24" spans="1:16" ht="15.6" customHeight="1" x14ac:dyDescent="0.3">
      <c r="A24" s="203" t="s">
        <v>258</v>
      </c>
      <c r="B24" s="92"/>
      <c r="C24" s="93"/>
      <c r="D24" s="93"/>
      <c r="E24" s="150" t="s">
        <v>245</v>
      </c>
      <c r="F24" s="93"/>
      <c r="G24" s="93"/>
      <c r="H24" s="93"/>
      <c r="I24" s="93"/>
      <c r="J24" s="93"/>
      <c r="K24" s="93"/>
      <c r="L24" s="93"/>
      <c r="M24" s="67"/>
      <c r="N24" s="90"/>
      <c r="O24" s="90" t="s">
        <v>248</v>
      </c>
      <c r="P24" s="158" t="s">
        <v>249</v>
      </c>
    </row>
    <row r="25" spans="1:16" ht="15.6" customHeight="1" x14ac:dyDescent="0.3">
      <c r="A25" s="202" t="s">
        <v>259</v>
      </c>
      <c r="B25" s="96"/>
      <c r="C25" s="93"/>
      <c r="D25" s="93"/>
      <c r="E25" s="150" t="s">
        <v>247</v>
      </c>
      <c r="F25" s="93"/>
      <c r="G25" s="93"/>
      <c r="H25" s="93"/>
      <c r="I25" s="93"/>
      <c r="J25" s="93"/>
      <c r="K25" s="93"/>
      <c r="L25" s="93"/>
      <c r="M25" s="93"/>
      <c r="N25" s="160" t="s">
        <v>43</v>
      </c>
      <c r="O25" s="96"/>
      <c r="P25" s="161"/>
    </row>
    <row r="26" spans="1:16" ht="15.6" customHeight="1" x14ac:dyDescent="0.3">
      <c r="A26" s="203" t="s">
        <v>85</v>
      </c>
      <c r="B26" s="92"/>
      <c r="C26" s="93"/>
      <c r="D26" s="93"/>
      <c r="E26" s="197" t="s">
        <v>251</v>
      </c>
      <c r="F26" s="93"/>
      <c r="G26" s="93"/>
      <c r="H26" s="93"/>
      <c r="I26" s="93"/>
      <c r="J26" s="93"/>
      <c r="K26" s="93"/>
      <c r="L26" s="93"/>
      <c r="M26" s="93"/>
      <c r="N26" s="160" t="s">
        <v>40</v>
      </c>
      <c r="O26" s="96"/>
      <c r="P26" s="161">
        <v>500</v>
      </c>
    </row>
    <row r="27" spans="1:16" ht="15.6" customHeight="1" x14ac:dyDescent="0.3">
      <c r="A27" s="204" t="s">
        <v>260</v>
      </c>
      <c r="B27" s="87"/>
      <c r="C27" s="93"/>
      <c r="D27" s="93"/>
      <c r="E27" s="197" t="s">
        <v>250</v>
      </c>
      <c r="F27" s="93"/>
      <c r="G27" s="93"/>
      <c r="H27" s="93"/>
      <c r="I27" s="93"/>
      <c r="J27" s="93"/>
      <c r="K27" s="93"/>
      <c r="L27" s="93"/>
      <c r="M27" s="93"/>
      <c r="N27" s="160" t="s">
        <v>44</v>
      </c>
      <c r="O27" s="96"/>
      <c r="P27" s="161"/>
    </row>
    <row r="28" spans="1:16" ht="15.6" customHeight="1" x14ac:dyDescent="0.3">
      <c r="A28" s="130"/>
      <c r="B28" s="93"/>
      <c r="C28" s="93"/>
      <c r="D28" s="93"/>
      <c r="E28" s="198" t="s">
        <v>252</v>
      </c>
      <c r="F28" s="93"/>
      <c r="G28" s="93"/>
      <c r="H28" s="93"/>
      <c r="I28" s="93"/>
      <c r="J28" s="93"/>
      <c r="K28" s="93"/>
      <c r="L28" s="93"/>
      <c r="M28" s="93"/>
      <c r="N28" s="160" t="s">
        <v>41</v>
      </c>
      <c r="O28" s="96"/>
      <c r="P28" s="161"/>
    </row>
    <row r="29" spans="1:16" ht="15.6" customHeight="1" x14ac:dyDescent="0.3">
      <c r="A29" s="162"/>
      <c r="B29" s="87"/>
      <c r="C29" s="93"/>
      <c r="D29" s="93"/>
      <c r="E29" s="198" t="s">
        <v>253</v>
      </c>
      <c r="F29" s="93"/>
      <c r="G29" s="93"/>
      <c r="H29" s="93"/>
      <c r="I29" s="93"/>
      <c r="J29" s="93"/>
      <c r="K29" s="93"/>
      <c r="L29" s="93"/>
      <c r="M29" s="93"/>
      <c r="N29" s="164"/>
      <c r="O29" s="154" t="s">
        <v>47</v>
      </c>
      <c r="P29" s="155">
        <v>5</v>
      </c>
    </row>
    <row r="30" spans="1:16" x14ac:dyDescent="0.3">
      <c r="A30" s="130"/>
      <c r="B30" s="93"/>
      <c r="C30" s="93"/>
      <c r="D30" s="93"/>
      <c r="E30" s="198" t="s">
        <v>233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129"/>
    </row>
    <row r="31" spans="1:16" ht="15.6" customHeight="1" x14ac:dyDescent="0.3">
      <c r="A31" s="131" t="s">
        <v>42</v>
      </c>
      <c r="B31" s="75"/>
      <c r="C31" s="82" t="s">
        <v>104</v>
      </c>
      <c r="D31" s="77"/>
      <c r="E31" s="82" t="s">
        <v>105</v>
      </c>
      <c r="F31" s="77"/>
      <c r="G31" s="82" t="s">
        <v>106</v>
      </c>
      <c r="H31" s="77"/>
      <c r="I31" s="82" t="s">
        <v>107</v>
      </c>
      <c r="J31" s="77"/>
      <c r="K31" s="77"/>
      <c r="L31" s="93"/>
      <c r="M31" s="93"/>
      <c r="N31" s="75" t="s">
        <v>29</v>
      </c>
      <c r="O31" s="77"/>
      <c r="P31" s="124"/>
    </row>
    <row r="32" spans="1:16" x14ac:dyDescent="0.3">
      <c r="A32" s="181" t="s">
        <v>30</v>
      </c>
      <c r="B32" s="93" t="s">
        <v>82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 t="s">
        <v>59</v>
      </c>
      <c r="O32" s="93"/>
      <c r="P32" s="129"/>
    </row>
    <row r="33" spans="1:27" x14ac:dyDescent="0.3">
      <c r="A33" s="181" t="s">
        <v>31</v>
      </c>
      <c r="B33" s="93" t="s">
        <v>84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 t="s">
        <v>32</v>
      </c>
      <c r="O33" s="93"/>
      <c r="P33" s="129"/>
    </row>
    <row r="34" spans="1:27" x14ac:dyDescent="0.3">
      <c r="A34" s="181" t="s">
        <v>39</v>
      </c>
      <c r="B34" s="93" t="s">
        <v>83</v>
      </c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 t="s">
        <v>60</v>
      </c>
      <c r="O34" s="93"/>
      <c r="P34" s="129"/>
    </row>
    <row r="35" spans="1:27" x14ac:dyDescent="0.3">
      <c r="A35" s="181" t="s">
        <v>70</v>
      </c>
      <c r="B35" s="93" t="s">
        <v>71</v>
      </c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 t="s">
        <v>80</v>
      </c>
      <c r="O35" s="93"/>
      <c r="P35" s="129"/>
    </row>
    <row r="36" spans="1:27" x14ac:dyDescent="0.3">
      <c r="A36" s="130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169" t="s">
        <v>213</v>
      </c>
      <c r="M36" s="93"/>
      <c r="N36" s="93"/>
      <c r="O36" s="93"/>
      <c r="P36" s="129"/>
    </row>
    <row r="37" spans="1:27" ht="15.6" x14ac:dyDescent="0.3">
      <c r="A37" s="170" t="s">
        <v>15</v>
      </c>
      <c r="B37" s="79" t="s">
        <v>19</v>
      </c>
      <c r="C37" s="81" t="s">
        <v>20</v>
      </c>
      <c r="D37" s="80">
        <v>8</v>
      </c>
      <c r="E37" s="81">
        <f>D37-1</f>
        <v>7</v>
      </c>
      <c r="F37" s="80">
        <f t="shared" ref="F37:L37" si="1">E37-1</f>
        <v>6</v>
      </c>
      <c r="G37" s="81">
        <f t="shared" si="1"/>
        <v>5</v>
      </c>
      <c r="H37" s="80">
        <f t="shared" si="1"/>
        <v>4</v>
      </c>
      <c r="I37" s="81">
        <f t="shared" si="1"/>
        <v>3</v>
      </c>
      <c r="J37" s="80">
        <f t="shared" si="1"/>
        <v>2</v>
      </c>
      <c r="K37" s="81">
        <f t="shared" si="1"/>
        <v>1</v>
      </c>
      <c r="L37" s="80">
        <f t="shared" si="1"/>
        <v>0</v>
      </c>
      <c r="M37" s="57" t="s">
        <v>26</v>
      </c>
      <c r="N37" s="57"/>
      <c r="O37" s="75" t="s">
        <v>27</v>
      </c>
      <c r="P37" s="124"/>
    </row>
    <row r="38" spans="1:27" ht="18" x14ac:dyDescent="0.3">
      <c r="A38" s="167" t="s">
        <v>57</v>
      </c>
      <c r="B38" s="116" t="s">
        <v>23</v>
      </c>
      <c r="C38" s="171">
        <v>8</v>
      </c>
      <c r="D38" s="172">
        <f>C38+1</f>
        <v>9</v>
      </c>
      <c r="E38" s="171">
        <f t="shared" ref="E38:L38" si="2">D38+1</f>
        <v>10</v>
      </c>
      <c r="F38" s="172">
        <f t="shared" si="2"/>
        <v>11</v>
      </c>
      <c r="G38" s="171">
        <f t="shared" si="2"/>
        <v>12</v>
      </c>
      <c r="H38" s="172">
        <f t="shared" si="2"/>
        <v>13</v>
      </c>
      <c r="I38" s="171">
        <f t="shared" si="2"/>
        <v>14</v>
      </c>
      <c r="J38" s="172">
        <f t="shared" si="2"/>
        <v>15</v>
      </c>
      <c r="K38" s="171">
        <f t="shared" si="2"/>
        <v>16</v>
      </c>
      <c r="L38" s="172">
        <f t="shared" si="2"/>
        <v>17</v>
      </c>
      <c r="M38" s="58" t="s">
        <v>28</v>
      </c>
      <c r="N38" s="58"/>
      <c r="O38" s="93"/>
      <c r="P38" s="129"/>
    </row>
    <row r="39" spans="1:27" ht="18" x14ac:dyDescent="0.3">
      <c r="A39" s="167" t="s">
        <v>58</v>
      </c>
      <c r="B39" s="116" t="s">
        <v>86</v>
      </c>
      <c r="C39" s="171">
        <v>8</v>
      </c>
      <c r="D39" s="172">
        <f t="shared" ref="D39:L39" si="3">C39+1</f>
        <v>9</v>
      </c>
      <c r="E39" s="171">
        <f t="shared" si="3"/>
        <v>10</v>
      </c>
      <c r="F39" s="172">
        <f t="shared" si="3"/>
        <v>11</v>
      </c>
      <c r="G39" s="171">
        <f t="shared" si="3"/>
        <v>12</v>
      </c>
      <c r="H39" s="172">
        <f t="shared" si="3"/>
        <v>13</v>
      </c>
      <c r="I39" s="171">
        <f t="shared" si="3"/>
        <v>14</v>
      </c>
      <c r="J39" s="172">
        <f t="shared" si="3"/>
        <v>15</v>
      </c>
      <c r="K39" s="171">
        <f t="shared" si="3"/>
        <v>16</v>
      </c>
      <c r="L39" s="172">
        <f t="shared" si="3"/>
        <v>17</v>
      </c>
      <c r="M39" s="173" t="s">
        <v>90</v>
      </c>
      <c r="N39" s="173"/>
      <c r="O39" s="68" t="s">
        <v>89</v>
      </c>
      <c r="P39" s="129"/>
      <c r="AA39"/>
    </row>
    <row r="40" spans="1:27" ht="18.600000000000001" thickBot="1" x14ac:dyDescent="0.35">
      <c r="A40" s="174" t="s">
        <v>85</v>
      </c>
      <c r="B40" s="175" t="s">
        <v>87</v>
      </c>
      <c r="C40" s="176">
        <v>9</v>
      </c>
      <c r="D40" s="177">
        <f t="shared" ref="D40:L40" si="4">C40+1</f>
        <v>10</v>
      </c>
      <c r="E40" s="176">
        <f t="shared" si="4"/>
        <v>11</v>
      </c>
      <c r="F40" s="177">
        <f t="shared" si="4"/>
        <v>12</v>
      </c>
      <c r="G40" s="176">
        <f t="shared" si="4"/>
        <v>13</v>
      </c>
      <c r="H40" s="177">
        <f t="shared" si="4"/>
        <v>14</v>
      </c>
      <c r="I40" s="176">
        <f t="shared" si="4"/>
        <v>15</v>
      </c>
      <c r="J40" s="177">
        <f t="shared" si="4"/>
        <v>16</v>
      </c>
      <c r="K40" s="176">
        <f t="shared" si="4"/>
        <v>17</v>
      </c>
      <c r="L40" s="177">
        <f t="shared" si="4"/>
        <v>18</v>
      </c>
      <c r="M40" s="178" t="s">
        <v>88</v>
      </c>
      <c r="N40" s="178"/>
      <c r="O40" s="179" t="s">
        <v>261</v>
      </c>
      <c r="P40" s="180"/>
    </row>
  </sheetData>
  <mergeCells count="17">
    <mergeCell ref="M39:N39"/>
    <mergeCell ref="C11:I11"/>
    <mergeCell ref="N20:P20"/>
    <mergeCell ref="M40:N40"/>
    <mergeCell ref="M37:N37"/>
    <mergeCell ref="M38:N38"/>
    <mergeCell ref="A14:B16"/>
    <mergeCell ref="C6:I6"/>
    <mergeCell ref="C7:I7"/>
    <mergeCell ref="C8:I8"/>
    <mergeCell ref="C9:I9"/>
    <mergeCell ref="C10:I10"/>
    <mergeCell ref="M6:O6"/>
    <mergeCell ref="M7:O7"/>
    <mergeCell ref="M8:O8"/>
    <mergeCell ref="M9:O9"/>
    <mergeCell ref="M10:O10"/>
  </mergeCells>
  <phoneticPr fontId="15" type="noConversion"/>
  <pageMargins left="0.19685039370078741" right="0.19685039370078741" top="0.3543307086614173" bottom="0.3543307086614173" header="0" footer="0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733B-4F29-4CC7-8875-78DA591CD6C7}">
  <dimension ref="A1:U69"/>
  <sheetViews>
    <sheetView topLeftCell="A24" zoomScale="140" zoomScaleNormal="140" workbookViewId="0">
      <selection activeCell="A46" sqref="A46"/>
    </sheetView>
  </sheetViews>
  <sheetFormatPr defaultRowHeight="14.4" x14ac:dyDescent="0.3"/>
  <cols>
    <col min="1" max="1" width="5.88671875" customWidth="1"/>
    <col min="2" max="2" width="5.88671875" style="5" customWidth="1"/>
    <col min="3" max="17" width="5.88671875" customWidth="1"/>
    <col min="18" max="21" width="5.5546875" customWidth="1"/>
  </cols>
  <sheetData>
    <row r="1" spans="1:21" s="2" customFormat="1" ht="17.399999999999999" customHeight="1" x14ac:dyDescent="0.3">
      <c r="A1" s="2" t="s">
        <v>240</v>
      </c>
      <c r="B1" s="1"/>
      <c r="C1" s="52"/>
      <c r="E1" s="2" t="s">
        <v>239</v>
      </c>
      <c r="G1" s="52"/>
      <c r="I1" s="2" t="s">
        <v>242</v>
      </c>
      <c r="K1" s="52"/>
      <c r="M1" s="2" t="s">
        <v>241</v>
      </c>
      <c r="O1" s="53"/>
      <c r="P1" s="54"/>
      <c r="Q1" s="55"/>
    </row>
    <row r="2" spans="1:21" ht="17.399999999999999" customHeight="1" x14ac:dyDescent="0.3">
      <c r="A2" s="14" t="s">
        <v>46</v>
      </c>
      <c r="B2" s="11"/>
      <c r="C2" s="11"/>
      <c r="D2" s="11"/>
      <c r="E2" s="11"/>
      <c r="F2" s="11"/>
      <c r="G2" s="11"/>
      <c r="H2" s="12" t="s">
        <v>45</v>
      </c>
      <c r="I2" s="12" t="s">
        <v>47</v>
      </c>
      <c r="J2" s="59" t="s">
        <v>215</v>
      </c>
      <c r="K2" s="59"/>
      <c r="L2" s="59"/>
      <c r="M2" s="59"/>
      <c r="N2" s="59"/>
      <c r="O2" s="59"/>
      <c r="P2" s="59"/>
      <c r="Q2" s="59"/>
      <c r="R2" s="13"/>
      <c r="S2" s="13"/>
      <c r="T2" s="13"/>
      <c r="U2" s="13"/>
    </row>
    <row r="3" spans="1:21" ht="17.399999999999999" customHeight="1" x14ac:dyDescent="0.3">
      <c r="A3" s="6">
        <v>1</v>
      </c>
      <c r="B3" s="2"/>
      <c r="C3" s="2"/>
      <c r="D3" s="2"/>
      <c r="E3" s="1"/>
      <c r="F3" s="2"/>
      <c r="G3" s="2"/>
      <c r="H3" s="35"/>
      <c r="I3" s="36"/>
      <c r="J3" s="30"/>
      <c r="K3" s="2"/>
      <c r="L3" s="2"/>
      <c r="M3" s="2"/>
      <c r="N3" s="2"/>
      <c r="O3" s="2"/>
      <c r="P3" s="2"/>
      <c r="Q3" s="2"/>
    </row>
    <row r="4" spans="1:21" ht="17.399999999999999" customHeight="1" x14ac:dyDescent="0.3">
      <c r="A4" s="29">
        <f>A3+1</f>
        <v>2</v>
      </c>
      <c r="B4" s="31"/>
      <c r="C4" s="31"/>
      <c r="D4" s="31"/>
      <c r="E4" s="31"/>
      <c r="F4" s="31"/>
      <c r="G4" s="31"/>
      <c r="H4" s="37"/>
      <c r="I4" s="37"/>
      <c r="J4" s="32"/>
      <c r="K4" s="31"/>
      <c r="L4" s="31"/>
      <c r="M4" s="31"/>
      <c r="N4" s="31"/>
      <c r="O4" s="31"/>
      <c r="P4" s="31"/>
      <c r="Q4" s="31"/>
    </row>
    <row r="5" spans="1:21" ht="17.399999999999999" customHeight="1" x14ac:dyDescent="0.3">
      <c r="A5" s="6">
        <f>A4+1</f>
        <v>3</v>
      </c>
      <c r="B5" s="2"/>
      <c r="C5" s="2"/>
      <c r="D5" s="2"/>
      <c r="E5" s="1"/>
      <c r="F5" s="2"/>
      <c r="G5" s="2"/>
      <c r="H5" s="36"/>
      <c r="I5" s="36"/>
      <c r="J5" s="30"/>
      <c r="K5" s="2"/>
      <c r="L5" s="2"/>
      <c r="M5" s="2"/>
      <c r="N5" s="2"/>
      <c r="O5" s="2"/>
      <c r="P5" s="2"/>
      <c r="Q5" s="2"/>
    </row>
    <row r="6" spans="1:21" ht="17.399999999999999" customHeight="1" x14ac:dyDescent="0.3">
      <c r="A6" s="29">
        <f t="shared" ref="A6:A22" si="0">A5+1</f>
        <v>4</v>
      </c>
      <c r="B6" s="31"/>
      <c r="C6" s="31"/>
      <c r="D6" s="31"/>
      <c r="E6" s="31"/>
      <c r="F6" s="31"/>
      <c r="G6" s="31"/>
      <c r="H6" s="37"/>
      <c r="I6" s="37"/>
      <c r="J6" s="32"/>
      <c r="K6" s="31"/>
      <c r="L6" s="31"/>
      <c r="M6" s="31"/>
      <c r="N6" s="31"/>
      <c r="O6" s="31"/>
      <c r="P6" s="31"/>
      <c r="Q6" s="31"/>
    </row>
    <row r="7" spans="1:21" ht="17.399999999999999" customHeight="1" x14ac:dyDescent="0.3">
      <c r="A7" s="6">
        <f t="shared" si="0"/>
        <v>5</v>
      </c>
      <c r="B7" s="2"/>
      <c r="C7" s="2"/>
      <c r="D7" s="2"/>
      <c r="E7" s="1"/>
      <c r="F7" s="2"/>
      <c r="G7" s="2"/>
      <c r="H7" s="36"/>
      <c r="I7" s="36"/>
      <c r="J7" s="30"/>
      <c r="K7" s="2"/>
      <c r="L7" s="2"/>
      <c r="M7" s="2"/>
      <c r="N7" s="2"/>
      <c r="O7" s="2"/>
      <c r="P7" s="2"/>
      <c r="Q7" s="2"/>
    </row>
    <row r="8" spans="1:21" ht="17.399999999999999" customHeight="1" x14ac:dyDescent="0.3">
      <c r="A8" s="29">
        <f t="shared" si="0"/>
        <v>6</v>
      </c>
      <c r="B8" s="31"/>
      <c r="C8" s="31"/>
      <c r="D8" s="31"/>
      <c r="E8" s="31"/>
      <c r="F8" s="31"/>
      <c r="G8" s="31"/>
      <c r="H8" s="37"/>
      <c r="I8" s="37"/>
      <c r="J8" s="32"/>
      <c r="K8" s="31"/>
      <c r="L8" s="31"/>
      <c r="M8" s="31"/>
      <c r="N8" s="31"/>
      <c r="O8" s="31"/>
      <c r="P8" s="31"/>
      <c r="Q8" s="31"/>
    </row>
    <row r="9" spans="1:21" ht="17.399999999999999" customHeight="1" x14ac:dyDescent="0.3">
      <c r="A9" s="6">
        <f t="shared" si="0"/>
        <v>7</v>
      </c>
      <c r="B9" s="2"/>
      <c r="C9" s="2"/>
      <c r="D9" s="2"/>
      <c r="E9" s="1"/>
      <c r="F9" s="2"/>
      <c r="G9" s="2"/>
      <c r="H9" s="36"/>
      <c r="I9" s="36"/>
      <c r="J9" s="30"/>
      <c r="K9" s="2"/>
      <c r="L9" s="2"/>
      <c r="M9" s="2"/>
      <c r="N9" s="2"/>
      <c r="O9" s="2"/>
      <c r="P9" s="2"/>
      <c r="Q9" s="2"/>
    </row>
    <row r="10" spans="1:21" ht="17.399999999999999" customHeight="1" x14ac:dyDescent="0.3">
      <c r="A10" s="29">
        <f t="shared" si="0"/>
        <v>8</v>
      </c>
      <c r="B10" s="31"/>
      <c r="C10" s="31"/>
      <c r="D10" s="31"/>
      <c r="E10" s="31"/>
      <c r="F10" s="31"/>
      <c r="G10" s="31"/>
      <c r="H10" s="37"/>
      <c r="I10" s="37"/>
      <c r="J10" s="32"/>
      <c r="K10" s="31"/>
      <c r="L10" s="31"/>
      <c r="M10" s="31"/>
      <c r="N10" s="31"/>
      <c r="O10" s="31"/>
      <c r="P10" s="31"/>
      <c r="Q10" s="31"/>
    </row>
    <row r="11" spans="1:21" ht="17.399999999999999" customHeight="1" x14ac:dyDescent="0.3">
      <c r="A11" s="6">
        <f t="shared" si="0"/>
        <v>9</v>
      </c>
      <c r="B11" s="2"/>
      <c r="C11" s="2"/>
      <c r="D11" s="2"/>
      <c r="E11" s="1"/>
      <c r="F11" s="2"/>
      <c r="G11" s="2"/>
      <c r="H11" s="36"/>
      <c r="I11" s="36"/>
      <c r="J11" s="30"/>
      <c r="K11" s="2"/>
      <c r="L11" s="2"/>
      <c r="M11" s="2"/>
      <c r="N11" s="2"/>
      <c r="O11" s="2"/>
      <c r="P11" s="2"/>
      <c r="Q11" s="2"/>
    </row>
    <row r="12" spans="1:21" ht="17.399999999999999" customHeight="1" x14ac:dyDescent="0.3">
      <c r="A12" s="29">
        <f t="shared" si="0"/>
        <v>10</v>
      </c>
      <c r="B12" s="31"/>
      <c r="C12" s="31"/>
      <c r="D12" s="31"/>
      <c r="E12" s="31"/>
      <c r="F12" s="31"/>
      <c r="G12" s="31"/>
      <c r="H12" s="37"/>
      <c r="I12" s="37"/>
      <c r="J12" s="32"/>
      <c r="K12" s="31"/>
      <c r="L12" s="31"/>
      <c r="M12" s="31"/>
      <c r="N12" s="31"/>
      <c r="O12" s="31"/>
      <c r="P12" s="31"/>
      <c r="Q12" s="31"/>
    </row>
    <row r="13" spans="1:21" ht="17.399999999999999" customHeight="1" x14ac:dyDescent="0.3">
      <c r="A13" s="6">
        <f t="shared" si="0"/>
        <v>11</v>
      </c>
      <c r="B13" s="2"/>
      <c r="C13" s="2"/>
      <c r="D13" s="2"/>
      <c r="E13" s="1"/>
      <c r="F13" s="2"/>
      <c r="G13" s="2"/>
      <c r="H13" s="36"/>
      <c r="I13" s="36"/>
      <c r="J13" s="30"/>
      <c r="K13" s="2"/>
      <c r="L13" s="2"/>
      <c r="M13" s="2"/>
      <c r="N13" s="2"/>
      <c r="O13" s="2"/>
      <c r="P13" s="2"/>
      <c r="Q13" s="2"/>
    </row>
    <row r="14" spans="1:21" ht="17.399999999999999" customHeight="1" x14ac:dyDescent="0.3">
      <c r="A14" s="29">
        <f t="shared" si="0"/>
        <v>12</v>
      </c>
      <c r="B14" s="31"/>
      <c r="C14" s="31"/>
      <c r="D14" s="31"/>
      <c r="E14" s="31"/>
      <c r="F14" s="31"/>
      <c r="G14" s="31"/>
      <c r="H14" s="37"/>
      <c r="I14" s="37"/>
      <c r="J14" s="32"/>
      <c r="K14" s="31"/>
      <c r="L14" s="31"/>
      <c r="M14" s="31"/>
      <c r="N14" s="31"/>
      <c r="O14" s="31"/>
      <c r="P14" s="31"/>
      <c r="Q14" s="31"/>
    </row>
    <row r="15" spans="1:21" ht="17.399999999999999" customHeight="1" x14ac:dyDescent="0.3">
      <c r="A15" s="6">
        <f t="shared" si="0"/>
        <v>13</v>
      </c>
      <c r="B15" s="2"/>
      <c r="C15" s="2"/>
      <c r="D15" s="2"/>
      <c r="E15" s="1"/>
      <c r="F15" s="2"/>
      <c r="G15" s="2"/>
      <c r="H15" s="36"/>
      <c r="I15" s="36"/>
      <c r="J15" s="30"/>
      <c r="K15" s="2"/>
      <c r="L15" s="2"/>
      <c r="M15" s="2"/>
      <c r="N15" s="2"/>
      <c r="O15" s="2"/>
      <c r="P15" s="2"/>
      <c r="Q15" s="2"/>
    </row>
    <row r="16" spans="1:21" ht="17.399999999999999" customHeight="1" x14ac:dyDescent="0.3">
      <c r="A16" s="29">
        <f t="shared" si="0"/>
        <v>14</v>
      </c>
      <c r="B16" s="31"/>
      <c r="C16" s="31"/>
      <c r="D16" s="31"/>
      <c r="E16" s="31"/>
      <c r="F16" s="31"/>
      <c r="G16" s="31"/>
      <c r="H16" s="37"/>
      <c r="I16" s="37"/>
      <c r="J16" s="32"/>
      <c r="K16" s="31"/>
      <c r="L16" s="31"/>
      <c r="M16" s="31"/>
      <c r="N16" s="31"/>
      <c r="O16" s="31"/>
      <c r="P16" s="31"/>
      <c r="Q16" s="31"/>
    </row>
    <row r="17" spans="1:21" ht="17.399999999999999" customHeight="1" x14ac:dyDescent="0.3">
      <c r="A17" s="6">
        <f t="shared" si="0"/>
        <v>15</v>
      </c>
      <c r="B17" s="2"/>
      <c r="C17" s="2"/>
      <c r="D17" s="2"/>
      <c r="E17" s="1"/>
      <c r="F17" s="2"/>
      <c r="G17" s="2"/>
      <c r="H17" s="36"/>
      <c r="I17" s="36"/>
      <c r="J17" s="30"/>
      <c r="K17" s="2"/>
      <c r="L17" s="2"/>
      <c r="M17" s="2"/>
      <c r="N17" s="2"/>
      <c r="O17" s="2"/>
      <c r="P17" s="2"/>
      <c r="Q17" s="2"/>
    </row>
    <row r="18" spans="1:21" ht="17.399999999999999" customHeight="1" x14ac:dyDescent="0.3">
      <c r="A18" s="29">
        <f t="shared" si="0"/>
        <v>16</v>
      </c>
      <c r="B18" s="31"/>
      <c r="C18" s="31"/>
      <c r="D18" s="31"/>
      <c r="E18" s="31"/>
      <c r="F18" s="31"/>
      <c r="G18" s="31"/>
      <c r="H18" s="37"/>
      <c r="I18" s="37"/>
      <c r="J18" s="32"/>
      <c r="K18" s="31"/>
      <c r="L18" s="31"/>
      <c r="M18" s="31"/>
      <c r="N18" s="31"/>
      <c r="O18" s="31"/>
      <c r="P18" s="31"/>
      <c r="Q18" s="31"/>
    </row>
    <row r="19" spans="1:21" ht="17.399999999999999" customHeight="1" x14ac:dyDescent="0.3">
      <c r="A19" s="6">
        <f t="shared" si="0"/>
        <v>17</v>
      </c>
      <c r="B19" s="2"/>
      <c r="C19" s="2"/>
      <c r="D19" s="2"/>
      <c r="E19" s="1"/>
      <c r="F19" s="2"/>
      <c r="G19" s="2"/>
      <c r="H19" s="36"/>
      <c r="I19" s="36"/>
      <c r="J19" s="30"/>
      <c r="K19" s="2"/>
      <c r="L19" s="2"/>
      <c r="M19" s="2"/>
      <c r="N19" s="2"/>
      <c r="O19" s="2"/>
      <c r="P19" s="2"/>
      <c r="Q19" s="2"/>
    </row>
    <row r="20" spans="1:21" ht="17.399999999999999" customHeight="1" x14ac:dyDescent="0.3">
      <c r="A20" s="205">
        <f t="shared" si="0"/>
        <v>18</v>
      </c>
      <c r="B20" s="200"/>
      <c r="C20" s="31"/>
      <c r="D20" s="31"/>
      <c r="E20" s="31"/>
      <c r="F20" s="31"/>
      <c r="G20" s="31"/>
      <c r="H20" s="37"/>
      <c r="I20" s="37"/>
      <c r="J20" s="32"/>
      <c r="K20" s="31"/>
      <c r="L20" s="31"/>
      <c r="M20" s="31"/>
      <c r="N20" s="31"/>
      <c r="O20" s="31"/>
      <c r="P20" s="31"/>
      <c r="Q20" s="31"/>
    </row>
    <row r="21" spans="1:21" ht="17.399999999999999" customHeight="1" x14ac:dyDescent="0.3">
      <c r="A21" s="206">
        <f t="shared" si="0"/>
        <v>19</v>
      </c>
      <c r="B21" s="2"/>
      <c r="C21" s="2"/>
      <c r="D21" s="2"/>
      <c r="E21" s="1"/>
      <c r="F21" s="2"/>
      <c r="G21" s="2"/>
      <c r="H21" s="36"/>
      <c r="I21" s="36"/>
      <c r="J21" s="30"/>
      <c r="K21" s="2"/>
      <c r="L21" s="2"/>
      <c r="M21" s="2"/>
      <c r="N21" s="2"/>
      <c r="O21" s="2"/>
      <c r="P21" s="2"/>
      <c r="Q21" s="2"/>
    </row>
    <row r="22" spans="1:21" ht="17.399999999999999" customHeight="1" x14ac:dyDescent="0.3">
      <c r="A22" s="207">
        <f t="shared" si="0"/>
        <v>20</v>
      </c>
      <c r="B22" s="33"/>
      <c r="C22" s="33"/>
      <c r="D22" s="33"/>
      <c r="E22" s="33"/>
      <c r="F22" s="33"/>
      <c r="G22" s="33"/>
      <c r="H22" s="38"/>
      <c r="I22" s="38"/>
      <c r="J22" s="34"/>
      <c r="K22" s="33"/>
      <c r="L22" s="33"/>
      <c r="M22" s="33"/>
      <c r="N22" s="33"/>
      <c r="O22" s="33"/>
      <c r="P22" s="33"/>
      <c r="Q22" s="33"/>
    </row>
    <row r="23" spans="1:21" ht="14.4" customHeight="1" x14ac:dyDescent="0.3">
      <c r="A23" s="208"/>
      <c r="B23"/>
      <c r="Q23" s="51" t="s">
        <v>235</v>
      </c>
    </row>
    <row r="24" spans="1:21" ht="17.399999999999999" customHeight="1" x14ac:dyDescent="0.3">
      <c r="A24" s="209" t="s">
        <v>213</v>
      </c>
      <c r="B24" s="60"/>
      <c r="C24" s="42" t="s">
        <v>8</v>
      </c>
      <c r="D24" s="42" t="s">
        <v>8</v>
      </c>
      <c r="E24" s="42" t="s">
        <v>8</v>
      </c>
      <c r="F24" s="42" t="s">
        <v>8</v>
      </c>
      <c r="G24" s="42" t="s">
        <v>8</v>
      </c>
      <c r="H24" s="42" t="s">
        <v>8</v>
      </c>
      <c r="I24" s="42" t="s">
        <v>8</v>
      </c>
      <c r="J24" s="42" t="s">
        <v>8</v>
      </c>
      <c r="K24" s="42" t="s">
        <v>8</v>
      </c>
      <c r="L24" s="42" t="s">
        <v>8</v>
      </c>
      <c r="M24" s="42" t="s">
        <v>8</v>
      </c>
      <c r="N24" s="42" t="s">
        <v>8</v>
      </c>
      <c r="O24" s="42" t="s">
        <v>8</v>
      </c>
      <c r="P24" s="42" t="s">
        <v>8</v>
      </c>
      <c r="Q24" s="42" t="s">
        <v>8</v>
      </c>
    </row>
    <row r="25" spans="1:21" ht="17.399999999999999" customHeight="1" x14ac:dyDescent="0.3">
      <c r="A25" s="210"/>
      <c r="C25" s="17">
        <v>-3</v>
      </c>
      <c r="D25" s="17">
        <f t="shared" ref="D25:Q25" si="1">C25+1</f>
        <v>-2</v>
      </c>
      <c r="E25" s="17">
        <f t="shared" si="1"/>
        <v>-1</v>
      </c>
      <c r="F25" s="17">
        <f t="shared" si="1"/>
        <v>0</v>
      </c>
      <c r="G25" s="17">
        <f t="shared" si="1"/>
        <v>1</v>
      </c>
      <c r="H25" s="17">
        <f t="shared" si="1"/>
        <v>2</v>
      </c>
      <c r="I25" s="17">
        <f t="shared" si="1"/>
        <v>3</v>
      </c>
      <c r="J25" s="17">
        <f t="shared" si="1"/>
        <v>4</v>
      </c>
      <c r="K25" s="17">
        <f t="shared" si="1"/>
        <v>5</v>
      </c>
      <c r="L25" s="17">
        <f t="shared" si="1"/>
        <v>6</v>
      </c>
      <c r="M25" s="17">
        <f t="shared" si="1"/>
        <v>7</v>
      </c>
      <c r="N25" s="17">
        <f t="shared" si="1"/>
        <v>8</v>
      </c>
      <c r="O25" s="17">
        <f t="shared" si="1"/>
        <v>9</v>
      </c>
      <c r="P25" s="17">
        <f t="shared" si="1"/>
        <v>10</v>
      </c>
      <c r="Q25" s="17">
        <f t="shared" si="1"/>
        <v>11</v>
      </c>
      <c r="R25" s="1"/>
      <c r="S25" s="1"/>
      <c r="T25" s="1"/>
      <c r="U25" s="1"/>
    </row>
    <row r="26" spans="1:21" ht="14.4" customHeight="1" x14ac:dyDescent="0.3">
      <c r="A26" s="211">
        <v>19</v>
      </c>
      <c r="B26" s="62"/>
      <c r="C26" s="16">
        <f>$A26-C$25</f>
        <v>22</v>
      </c>
      <c r="D26" s="16">
        <f t="shared" ref="D26:Q26" si="2">$A26-D$25</f>
        <v>21</v>
      </c>
      <c r="E26" s="16">
        <f t="shared" si="2"/>
        <v>20</v>
      </c>
      <c r="F26" s="16">
        <f t="shared" si="2"/>
        <v>19</v>
      </c>
      <c r="G26" s="16">
        <f t="shared" si="2"/>
        <v>18</v>
      </c>
      <c r="H26" s="16">
        <f t="shared" si="2"/>
        <v>17</v>
      </c>
      <c r="I26" s="16">
        <f t="shared" si="2"/>
        <v>16</v>
      </c>
      <c r="J26" s="16">
        <f t="shared" si="2"/>
        <v>15</v>
      </c>
      <c r="K26" s="16">
        <f t="shared" si="2"/>
        <v>14</v>
      </c>
      <c r="L26" s="16">
        <f t="shared" si="2"/>
        <v>13</v>
      </c>
      <c r="M26" s="16">
        <f t="shared" si="2"/>
        <v>12</v>
      </c>
      <c r="N26" s="16">
        <f t="shared" si="2"/>
        <v>11</v>
      </c>
      <c r="O26" s="16">
        <f t="shared" si="2"/>
        <v>10</v>
      </c>
      <c r="P26" s="16">
        <f t="shared" si="2"/>
        <v>9</v>
      </c>
      <c r="Q26" s="16">
        <f t="shared" si="2"/>
        <v>8</v>
      </c>
    </row>
    <row r="27" spans="1:21" ht="14.4" customHeight="1" x14ac:dyDescent="0.3">
      <c r="A27" s="212">
        <v>18</v>
      </c>
      <c r="B27" s="64"/>
      <c r="C27" s="15">
        <f t="shared" ref="C27:Q34" si="3">$A27-C$25</f>
        <v>21</v>
      </c>
      <c r="D27" s="15">
        <f t="shared" si="3"/>
        <v>20</v>
      </c>
      <c r="E27" s="15">
        <f t="shared" si="3"/>
        <v>19</v>
      </c>
      <c r="F27" s="15">
        <f t="shared" si="3"/>
        <v>18</v>
      </c>
      <c r="G27" s="15">
        <f t="shared" si="3"/>
        <v>17</v>
      </c>
      <c r="H27" s="15">
        <f t="shared" si="3"/>
        <v>16</v>
      </c>
      <c r="I27" s="15">
        <f t="shared" si="3"/>
        <v>15</v>
      </c>
      <c r="J27" s="15">
        <f t="shared" si="3"/>
        <v>14</v>
      </c>
      <c r="K27" s="15">
        <f t="shared" si="3"/>
        <v>13</v>
      </c>
      <c r="L27" s="15">
        <f t="shared" si="3"/>
        <v>12</v>
      </c>
      <c r="M27" s="15">
        <f t="shared" si="3"/>
        <v>11</v>
      </c>
      <c r="N27" s="15">
        <f t="shared" si="3"/>
        <v>10</v>
      </c>
      <c r="O27" s="15">
        <f t="shared" si="3"/>
        <v>9</v>
      </c>
      <c r="P27" s="15">
        <f t="shared" si="3"/>
        <v>8</v>
      </c>
      <c r="Q27" s="15">
        <f t="shared" si="3"/>
        <v>7</v>
      </c>
    </row>
    <row r="28" spans="1:21" ht="14.4" customHeight="1" x14ac:dyDescent="0.3">
      <c r="A28" s="61">
        <v>17</v>
      </c>
      <c r="B28" s="62"/>
      <c r="C28" s="16">
        <f t="shared" si="3"/>
        <v>20</v>
      </c>
      <c r="D28" s="16">
        <f t="shared" si="3"/>
        <v>19</v>
      </c>
      <c r="E28" s="16">
        <f t="shared" si="3"/>
        <v>18</v>
      </c>
      <c r="F28" s="16">
        <f t="shared" si="3"/>
        <v>17</v>
      </c>
      <c r="G28" s="16">
        <f t="shared" si="3"/>
        <v>16</v>
      </c>
      <c r="H28" s="16">
        <f t="shared" si="3"/>
        <v>15</v>
      </c>
      <c r="I28" s="16">
        <f t="shared" si="3"/>
        <v>14</v>
      </c>
      <c r="J28" s="16">
        <f t="shared" si="3"/>
        <v>13</v>
      </c>
      <c r="K28" s="16">
        <f t="shared" si="3"/>
        <v>12</v>
      </c>
      <c r="L28" s="16">
        <f t="shared" si="3"/>
        <v>11</v>
      </c>
      <c r="M28" s="16">
        <f t="shared" si="3"/>
        <v>10</v>
      </c>
      <c r="N28" s="16">
        <f t="shared" si="3"/>
        <v>9</v>
      </c>
      <c r="O28" s="16">
        <f t="shared" si="3"/>
        <v>8</v>
      </c>
      <c r="P28" s="16">
        <f t="shared" si="3"/>
        <v>7</v>
      </c>
      <c r="Q28" s="16">
        <f t="shared" si="3"/>
        <v>6</v>
      </c>
    </row>
    <row r="29" spans="1:21" ht="14.4" customHeight="1" x14ac:dyDescent="0.3">
      <c r="A29" s="63">
        <v>16</v>
      </c>
      <c r="B29" s="64"/>
      <c r="C29" s="15">
        <f t="shared" si="3"/>
        <v>19</v>
      </c>
      <c r="D29" s="15">
        <f t="shared" si="3"/>
        <v>18</v>
      </c>
      <c r="E29" s="15">
        <f t="shared" si="3"/>
        <v>17</v>
      </c>
      <c r="F29" s="15">
        <f t="shared" si="3"/>
        <v>16</v>
      </c>
      <c r="G29" s="15">
        <f t="shared" si="3"/>
        <v>15</v>
      </c>
      <c r="H29" s="15">
        <f t="shared" si="3"/>
        <v>14</v>
      </c>
      <c r="I29" s="15">
        <f t="shared" si="3"/>
        <v>13</v>
      </c>
      <c r="J29" s="15">
        <f t="shared" si="3"/>
        <v>12</v>
      </c>
      <c r="K29" s="15">
        <f t="shared" si="3"/>
        <v>11</v>
      </c>
      <c r="L29" s="15">
        <f t="shared" si="3"/>
        <v>10</v>
      </c>
      <c r="M29" s="15">
        <f t="shared" si="3"/>
        <v>9</v>
      </c>
      <c r="N29" s="15">
        <f t="shared" si="3"/>
        <v>8</v>
      </c>
      <c r="O29" s="15">
        <f t="shared" si="3"/>
        <v>7</v>
      </c>
      <c r="P29" s="15">
        <f t="shared" si="3"/>
        <v>6</v>
      </c>
      <c r="Q29" s="15">
        <f t="shared" si="3"/>
        <v>5</v>
      </c>
    </row>
    <row r="30" spans="1:21" ht="14.4" customHeight="1" x14ac:dyDescent="0.3">
      <c r="A30" s="61">
        <v>15</v>
      </c>
      <c r="B30" s="62"/>
      <c r="C30" s="16">
        <f t="shared" si="3"/>
        <v>18</v>
      </c>
      <c r="D30" s="16">
        <f t="shared" si="3"/>
        <v>17</v>
      </c>
      <c r="E30" s="16">
        <f t="shared" si="3"/>
        <v>16</v>
      </c>
      <c r="F30" s="16">
        <f t="shared" si="3"/>
        <v>15</v>
      </c>
      <c r="G30" s="16">
        <f t="shared" si="3"/>
        <v>14</v>
      </c>
      <c r="H30" s="16">
        <f t="shared" si="3"/>
        <v>13</v>
      </c>
      <c r="I30" s="16">
        <f t="shared" si="3"/>
        <v>12</v>
      </c>
      <c r="J30" s="16">
        <f t="shared" si="3"/>
        <v>11</v>
      </c>
      <c r="K30" s="16">
        <f t="shared" si="3"/>
        <v>10</v>
      </c>
      <c r="L30" s="16">
        <f t="shared" si="3"/>
        <v>9</v>
      </c>
      <c r="M30" s="16">
        <f t="shared" si="3"/>
        <v>8</v>
      </c>
      <c r="N30" s="16">
        <f t="shared" si="3"/>
        <v>7</v>
      </c>
      <c r="O30" s="16">
        <f t="shared" si="3"/>
        <v>6</v>
      </c>
      <c r="P30" s="16">
        <f t="shared" si="3"/>
        <v>5</v>
      </c>
      <c r="Q30" s="16">
        <f t="shared" si="3"/>
        <v>4</v>
      </c>
    </row>
    <row r="31" spans="1:21" ht="14.4" customHeight="1" x14ac:dyDescent="0.3">
      <c r="A31" s="63">
        <v>14</v>
      </c>
      <c r="B31" s="64"/>
      <c r="C31" s="15">
        <f t="shared" si="3"/>
        <v>17</v>
      </c>
      <c r="D31" s="15">
        <f t="shared" si="3"/>
        <v>16</v>
      </c>
      <c r="E31" s="15">
        <f t="shared" si="3"/>
        <v>15</v>
      </c>
      <c r="F31" s="15">
        <f t="shared" si="3"/>
        <v>14</v>
      </c>
      <c r="G31" s="15">
        <f t="shared" si="3"/>
        <v>13</v>
      </c>
      <c r="H31" s="15">
        <f t="shared" si="3"/>
        <v>12</v>
      </c>
      <c r="I31" s="15">
        <f t="shared" si="3"/>
        <v>11</v>
      </c>
      <c r="J31" s="15">
        <f t="shared" si="3"/>
        <v>10</v>
      </c>
      <c r="K31" s="15">
        <f t="shared" si="3"/>
        <v>9</v>
      </c>
      <c r="L31" s="15">
        <f t="shared" si="3"/>
        <v>8</v>
      </c>
      <c r="M31" s="15">
        <f t="shared" si="3"/>
        <v>7</v>
      </c>
      <c r="N31" s="15">
        <f t="shared" si="3"/>
        <v>6</v>
      </c>
      <c r="O31" s="15">
        <f t="shared" si="3"/>
        <v>5</v>
      </c>
      <c r="P31" s="15">
        <f t="shared" si="3"/>
        <v>4</v>
      </c>
      <c r="Q31" s="15">
        <f t="shared" si="3"/>
        <v>3</v>
      </c>
    </row>
    <row r="32" spans="1:21" ht="14.4" customHeight="1" x14ac:dyDescent="0.3">
      <c r="A32" s="61">
        <v>13</v>
      </c>
      <c r="B32" s="62"/>
      <c r="C32" s="16">
        <f t="shared" si="3"/>
        <v>16</v>
      </c>
      <c r="D32" s="16">
        <f t="shared" si="3"/>
        <v>15</v>
      </c>
      <c r="E32" s="16">
        <f t="shared" si="3"/>
        <v>14</v>
      </c>
      <c r="F32" s="16">
        <f t="shared" si="3"/>
        <v>13</v>
      </c>
      <c r="G32" s="16">
        <f t="shared" si="3"/>
        <v>12</v>
      </c>
      <c r="H32" s="16">
        <f t="shared" si="3"/>
        <v>11</v>
      </c>
      <c r="I32" s="16">
        <f t="shared" si="3"/>
        <v>10</v>
      </c>
      <c r="J32" s="16">
        <f t="shared" si="3"/>
        <v>9</v>
      </c>
      <c r="K32" s="16">
        <f t="shared" si="3"/>
        <v>8</v>
      </c>
      <c r="L32" s="16">
        <f t="shared" si="3"/>
        <v>7</v>
      </c>
      <c r="M32" s="16">
        <f t="shared" si="3"/>
        <v>6</v>
      </c>
      <c r="N32" s="16">
        <f t="shared" si="3"/>
        <v>5</v>
      </c>
      <c r="O32" s="16">
        <f t="shared" si="3"/>
        <v>4</v>
      </c>
      <c r="P32" s="16">
        <f t="shared" si="3"/>
        <v>3</v>
      </c>
      <c r="Q32" s="16">
        <f t="shared" si="3"/>
        <v>2</v>
      </c>
    </row>
    <row r="33" spans="1:17" ht="14.4" customHeight="1" x14ac:dyDescent="0.3">
      <c r="A33" s="63">
        <v>12</v>
      </c>
      <c r="B33" s="64"/>
      <c r="C33" s="15">
        <f t="shared" si="3"/>
        <v>15</v>
      </c>
      <c r="D33" s="15">
        <f t="shared" si="3"/>
        <v>14</v>
      </c>
      <c r="E33" s="15">
        <f t="shared" si="3"/>
        <v>13</v>
      </c>
      <c r="F33" s="15">
        <f t="shared" si="3"/>
        <v>12</v>
      </c>
      <c r="G33" s="15">
        <f t="shared" si="3"/>
        <v>11</v>
      </c>
      <c r="H33" s="15">
        <f t="shared" si="3"/>
        <v>10</v>
      </c>
      <c r="I33" s="15">
        <f t="shared" si="3"/>
        <v>9</v>
      </c>
      <c r="J33" s="15">
        <f t="shared" si="3"/>
        <v>8</v>
      </c>
      <c r="K33" s="15">
        <f t="shared" si="3"/>
        <v>7</v>
      </c>
      <c r="L33" s="15">
        <f t="shared" si="3"/>
        <v>6</v>
      </c>
      <c r="M33" s="15">
        <f t="shared" si="3"/>
        <v>5</v>
      </c>
      <c r="N33" s="15">
        <f t="shared" si="3"/>
        <v>4</v>
      </c>
      <c r="O33" s="15">
        <f t="shared" si="3"/>
        <v>3</v>
      </c>
      <c r="P33" s="15">
        <f t="shared" si="3"/>
        <v>2</v>
      </c>
      <c r="Q33" s="15">
        <f t="shared" si="3"/>
        <v>1</v>
      </c>
    </row>
    <row r="34" spans="1:17" ht="14.4" customHeight="1" x14ac:dyDescent="0.3">
      <c r="A34" s="65">
        <v>11</v>
      </c>
      <c r="B34" s="66"/>
      <c r="C34" s="18">
        <f t="shared" si="3"/>
        <v>14</v>
      </c>
      <c r="D34" s="18">
        <f t="shared" si="3"/>
        <v>13</v>
      </c>
      <c r="E34" s="18">
        <f t="shared" si="3"/>
        <v>12</v>
      </c>
      <c r="F34" s="18">
        <f t="shared" si="3"/>
        <v>11</v>
      </c>
      <c r="G34" s="18">
        <f t="shared" si="3"/>
        <v>10</v>
      </c>
      <c r="H34" s="18">
        <f t="shared" si="3"/>
        <v>9</v>
      </c>
      <c r="I34" s="18">
        <f t="shared" si="3"/>
        <v>8</v>
      </c>
      <c r="J34" s="18">
        <f t="shared" si="3"/>
        <v>7</v>
      </c>
      <c r="K34" s="18">
        <f t="shared" si="3"/>
        <v>6</v>
      </c>
      <c r="L34" s="18">
        <f t="shared" si="3"/>
        <v>5</v>
      </c>
      <c r="M34" s="18">
        <f t="shared" si="3"/>
        <v>4</v>
      </c>
      <c r="N34" s="18">
        <f t="shared" si="3"/>
        <v>3</v>
      </c>
      <c r="O34" s="18">
        <f t="shared" si="3"/>
        <v>2</v>
      </c>
      <c r="P34" s="18">
        <f t="shared" si="3"/>
        <v>1</v>
      </c>
      <c r="Q34" s="18">
        <f t="shared" si="3"/>
        <v>0</v>
      </c>
    </row>
    <row r="35" spans="1:17" ht="14.4" customHeight="1" x14ac:dyDescent="0.3"/>
    <row r="36" spans="1:17" ht="12.6" customHeight="1" x14ac:dyDescent="0.3">
      <c r="A36" s="43" t="s">
        <v>47</v>
      </c>
      <c r="B36" s="44" t="s">
        <v>49</v>
      </c>
      <c r="C36" s="43"/>
      <c r="D36" s="43"/>
      <c r="E36" s="43"/>
      <c r="F36" s="43"/>
      <c r="G36" s="43"/>
      <c r="H36" s="43"/>
      <c r="I36" s="43"/>
      <c r="J36" s="43"/>
      <c r="K36" s="45" t="s">
        <v>224</v>
      </c>
      <c r="L36" s="46"/>
      <c r="M36" s="47" t="s">
        <v>8</v>
      </c>
      <c r="N36" s="47" t="s">
        <v>47</v>
      </c>
      <c r="O36" s="47" t="s">
        <v>225</v>
      </c>
      <c r="P36" s="47" t="s">
        <v>226</v>
      </c>
      <c r="Q36" s="47" t="s">
        <v>227</v>
      </c>
    </row>
    <row r="37" spans="1:17" ht="12.6" customHeight="1" x14ac:dyDescent="0.3">
      <c r="A37" s="7">
        <v>0</v>
      </c>
      <c r="B37" s="8" t="s">
        <v>53</v>
      </c>
      <c r="K37" s="39" t="s">
        <v>216</v>
      </c>
      <c r="L37" s="2"/>
      <c r="M37" s="19">
        <v>9</v>
      </c>
      <c r="N37" s="19">
        <v>0</v>
      </c>
      <c r="O37" s="19" t="s">
        <v>228</v>
      </c>
      <c r="P37" s="19" t="s">
        <v>229</v>
      </c>
      <c r="Q37" s="19" t="s">
        <v>230</v>
      </c>
    </row>
    <row r="38" spans="1:17" ht="12.6" customHeight="1" x14ac:dyDescent="0.3">
      <c r="A38" s="21">
        <v>1</v>
      </c>
      <c r="B38" s="22" t="s">
        <v>51</v>
      </c>
      <c r="C38" s="23"/>
      <c r="D38" s="23"/>
      <c r="E38" s="23"/>
      <c r="F38" s="23"/>
      <c r="G38" s="23"/>
      <c r="H38" s="23"/>
      <c r="I38" s="23"/>
      <c r="J38" s="23"/>
      <c r="K38" s="40" t="s">
        <v>217</v>
      </c>
      <c r="L38" s="20"/>
      <c r="M38" s="26">
        <v>7</v>
      </c>
      <c r="N38" s="26">
        <v>2</v>
      </c>
      <c r="O38" s="26" t="s">
        <v>228</v>
      </c>
      <c r="P38" s="26" t="s">
        <v>229</v>
      </c>
      <c r="Q38" s="26" t="s">
        <v>230</v>
      </c>
    </row>
    <row r="39" spans="1:17" ht="12.6" customHeight="1" x14ac:dyDescent="0.3">
      <c r="A39" s="7">
        <v>2</v>
      </c>
      <c r="B39" s="8" t="s">
        <v>52</v>
      </c>
      <c r="K39" s="39" t="s">
        <v>218</v>
      </c>
      <c r="L39" s="2"/>
      <c r="M39" s="19">
        <v>6</v>
      </c>
      <c r="N39" s="19">
        <v>2</v>
      </c>
      <c r="O39" s="19" t="s">
        <v>228</v>
      </c>
      <c r="P39" s="19" t="s">
        <v>229</v>
      </c>
      <c r="Q39" s="19" t="s">
        <v>230</v>
      </c>
    </row>
    <row r="40" spans="1:17" ht="12.6" customHeight="1" x14ac:dyDescent="0.3">
      <c r="A40" s="21">
        <v>3</v>
      </c>
      <c r="B40" s="22" t="s">
        <v>50</v>
      </c>
      <c r="C40" s="23"/>
      <c r="D40" s="23"/>
      <c r="E40" s="23"/>
      <c r="F40" s="23"/>
      <c r="G40" s="23"/>
      <c r="H40" s="23"/>
      <c r="I40" s="23"/>
      <c r="J40" s="23"/>
      <c r="K40" s="40" t="s">
        <v>219</v>
      </c>
      <c r="L40" s="20"/>
      <c r="M40" s="26">
        <v>5</v>
      </c>
      <c r="N40" s="26">
        <v>2</v>
      </c>
      <c r="O40" s="26" t="s">
        <v>261</v>
      </c>
      <c r="P40" s="26" t="s">
        <v>229</v>
      </c>
      <c r="Q40" s="26" t="s">
        <v>229</v>
      </c>
    </row>
    <row r="41" spans="1:17" ht="12.6" customHeight="1" x14ac:dyDescent="0.3">
      <c r="A41" s="4" t="s">
        <v>48</v>
      </c>
      <c r="B41" s="24" t="s">
        <v>68</v>
      </c>
      <c r="C41" s="9"/>
      <c r="D41" s="9"/>
      <c r="E41" s="9"/>
      <c r="F41" s="9"/>
      <c r="G41" s="9"/>
      <c r="H41" s="9"/>
      <c r="I41" s="9"/>
      <c r="J41" s="9"/>
      <c r="K41" s="39" t="s">
        <v>221</v>
      </c>
      <c r="L41" s="2"/>
      <c r="M41" s="19">
        <v>6</v>
      </c>
      <c r="N41" s="19">
        <v>3</v>
      </c>
      <c r="O41" s="19" t="s">
        <v>229</v>
      </c>
      <c r="P41" s="19" t="s">
        <v>229</v>
      </c>
      <c r="Q41" s="19" t="s">
        <v>48</v>
      </c>
    </row>
    <row r="42" spans="1:17" ht="12.6" customHeight="1" x14ac:dyDescent="0.3">
      <c r="A42" s="7"/>
      <c r="B42" s="8"/>
      <c r="K42" s="40" t="s">
        <v>222</v>
      </c>
      <c r="L42" s="20"/>
      <c r="M42" s="26">
        <v>4</v>
      </c>
      <c r="N42" s="26">
        <v>3</v>
      </c>
      <c r="O42" s="26" t="s">
        <v>229</v>
      </c>
      <c r="P42" s="26" t="s">
        <v>229</v>
      </c>
      <c r="Q42" s="26" t="s">
        <v>48</v>
      </c>
    </row>
    <row r="43" spans="1:17" ht="12.6" customHeight="1" x14ac:dyDescent="0.3">
      <c r="A43" s="48" t="s">
        <v>231</v>
      </c>
      <c r="B43" s="49"/>
      <c r="C43" s="49"/>
      <c r="D43" s="49"/>
      <c r="E43" s="49"/>
      <c r="F43" s="49" t="s">
        <v>103</v>
      </c>
      <c r="G43" s="49"/>
      <c r="H43" s="49"/>
      <c r="I43" s="49"/>
      <c r="J43" s="3"/>
      <c r="K43" s="39" t="s">
        <v>223</v>
      </c>
      <c r="L43" s="2"/>
      <c r="M43" s="19">
        <v>3</v>
      </c>
      <c r="N43" s="19">
        <v>3</v>
      </c>
      <c r="O43" s="19" t="s">
        <v>229</v>
      </c>
      <c r="P43" s="19" t="s">
        <v>229</v>
      </c>
      <c r="Q43" s="19" t="s">
        <v>48</v>
      </c>
    </row>
    <row r="44" spans="1:17" ht="12.6" customHeight="1" x14ac:dyDescent="0.3">
      <c r="A44" s="48" t="s">
        <v>238</v>
      </c>
      <c r="B44" s="49"/>
      <c r="C44" s="49"/>
      <c r="D44" s="49"/>
      <c r="E44" s="49"/>
      <c r="F44" s="50"/>
      <c r="G44" s="49"/>
      <c r="H44" s="49"/>
      <c r="I44" s="49"/>
      <c r="J44" s="3"/>
      <c r="K44" s="41" t="s">
        <v>220</v>
      </c>
      <c r="L44" s="25"/>
      <c r="M44" s="27">
        <v>-1</v>
      </c>
      <c r="N44" s="27">
        <v>2</v>
      </c>
      <c r="O44" s="27"/>
      <c r="P44" s="27"/>
      <c r="Q44" s="27"/>
    </row>
    <row r="45" spans="1:17" ht="12.6" customHeight="1" x14ac:dyDescent="0.3">
      <c r="A45" s="48" t="s">
        <v>232</v>
      </c>
      <c r="B45" s="49"/>
      <c r="C45" s="49"/>
      <c r="D45" s="49"/>
      <c r="E45" s="49"/>
      <c r="F45" s="49"/>
      <c r="G45" s="49"/>
      <c r="H45" s="49"/>
      <c r="I45" s="49"/>
      <c r="J45" s="3"/>
    </row>
    <row r="46" spans="1:17" ht="12.6" customHeight="1" x14ac:dyDescent="0.3">
      <c r="A46" s="48" t="s">
        <v>233</v>
      </c>
      <c r="B46" s="49"/>
      <c r="C46" s="49"/>
      <c r="D46" s="49"/>
      <c r="E46" s="49"/>
      <c r="F46" s="49"/>
      <c r="G46" s="49"/>
      <c r="H46" s="49"/>
      <c r="I46" s="49"/>
      <c r="J46" s="3"/>
      <c r="L46" s="3"/>
      <c r="M46" s="3"/>
    </row>
    <row r="47" spans="1:17" ht="12.6" customHeight="1" x14ac:dyDescent="0.3">
      <c r="A47" s="10" t="s">
        <v>234</v>
      </c>
      <c r="B47" s="49"/>
      <c r="C47" s="49"/>
      <c r="D47" s="49"/>
      <c r="E47" s="49"/>
      <c r="F47" s="49"/>
      <c r="G47" s="49"/>
      <c r="H47" s="49"/>
      <c r="I47" s="49"/>
      <c r="J47" s="3"/>
      <c r="Q47" s="28"/>
    </row>
    <row r="48" spans="1:17" ht="12.6" customHeight="1" x14ac:dyDescent="0.3">
      <c r="A48" s="48" t="s">
        <v>236</v>
      </c>
      <c r="Q48" s="28" t="s">
        <v>214</v>
      </c>
    </row>
    <row r="49" ht="12.6" customHeight="1" x14ac:dyDescent="0.3"/>
    <row r="50" ht="12.6" customHeight="1" x14ac:dyDescent="0.3"/>
    <row r="51" ht="17.399999999999999" customHeight="1" x14ac:dyDescent="0.3"/>
    <row r="52" ht="17.399999999999999" customHeight="1" x14ac:dyDescent="0.3"/>
    <row r="53" ht="17.399999999999999" customHeight="1" x14ac:dyDescent="0.3"/>
    <row r="54" ht="17.399999999999999" customHeight="1" x14ac:dyDescent="0.3"/>
    <row r="55" ht="17.399999999999999" customHeight="1" x14ac:dyDescent="0.3"/>
    <row r="56" ht="17.399999999999999" customHeight="1" x14ac:dyDescent="0.3"/>
    <row r="57" ht="17.399999999999999" customHeight="1" x14ac:dyDescent="0.3"/>
    <row r="58" ht="17.399999999999999" customHeight="1" x14ac:dyDescent="0.3"/>
    <row r="59" ht="17.399999999999999" customHeight="1" x14ac:dyDescent="0.3"/>
    <row r="60" ht="17.399999999999999" customHeight="1" x14ac:dyDescent="0.3"/>
    <row r="61" ht="17.399999999999999" customHeight="1" x14ac:dyDescent="0.3"/>
    <row r="62" ht="17.399999999999999" customHeight="1" x14ac:dyDescent="0.3"/>
    <row r="63" ht="17.399999999999999" customHeight="1" x14ac:dyDescent="0.3"/>
    <row r="64" ht="17.399999999999999" customHeight="1" x14ac:dyDescent="0.3"/>
    <row r="65" ht="17.399999999999999" customHeight="1" x14ac:dyDescent="0.3"/>
    <row r="66" ht="17.399999999999999" customHeight="1" x14ac:dyDescent="0.3"/>
    <row r="67" ht="17.399999999999999" customHeight="1" x14ac:dyDescent="0.3"/>
    <row r="68" ht="17.399999999999999" customHeight="1" x14ac:dyDescent="0.3"/>
    <row r="69" ht="17.399999999999999" customHeight="1" x14ac:dyDescent="0.3"/>
  </sheetData>
  <mergeCells count="11">
    <mergeCell ref="J2:Q2"/>
    <mergeCell ref="A24:B24"/>
    <mergeCell ref="A26:B26"/>
    <mergeCell ref="A27:B27"/>
    <mergeCell ref="A34:B34"/>
    <mergeCell ref="A28:B28"/>
    <mergeCell ref="A29:B29"/>
    <mergeCell ref="A30:B30"/>
    <mergeCell ref="A31:B31"/>
    <mergeCell ref="A32:B32"/>
    <mergeCell ref="A33:B33"/>
  </mergeCells>
  <phoneticPr fontId="15" type="noConversion"/>
  <pageMargins left="0.19685039370078741" right="0.19685039370078741" top="0.35433070866141736" bottom="0.35433070866141736" header="0" footer="0"/>
  <pageSetup paperSize="9" fitToWidth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Halfling A</vt:lpstr>
      <vt:lpstr>Elfo A</vt:lpstr>
      <vt:lpstr>Nano A</vt:lpstr>
      <vt:lpstr>Ladro A</vt:lpstr>
      <vt:lpstr>Magic A</vt:lpstr>
      <vt:lpstr>Fighter A</vt:lpstr>
      <vt:lpstr>Cleric A</vt:lpstr>
      <vt:lpstr>Oggetti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Bartolini</dc:creator>
  <cp:lastModifiedBy>Claudio Bartolini</cp:lastModifiedBy>
  <cp:lastPrinted>2025-12-17T19:15:56Z</cp:lastPrinted>
  <dcterms:created xsi:type="dcterms:W3CDTF">2025-12-03T19:05:58Z</dcterms:created>
  <dcterms:modified xsi:type="dcterms:W3CDTF">2025-12-17T21:26:01Z</dcterms:modified>
</cp:coreProperties>
</file>