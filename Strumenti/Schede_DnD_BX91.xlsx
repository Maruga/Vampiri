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ublic\_Clienti\Maruga\Giochi\Vampiri\Vault\Vampiri\Strumenti\"/>
    </mc:Choice>
  </mc:AlternateContent>
  <xr:revisionPtr revIDLastSave="0" documentId="13_ncr:1_{B8EDC8A7-DE2C-4A6E-950A-A3D2E2F2B60E}" xr6:coauthVersionLast="47" xr6:coauthVersionMax="47" xr10:uidLastSave="{00000000-0000-0000-0000-000000000000}"/>
  <bookViews>
    <workbookView xWindow="12156" yWindow="0" windowWidth="29712" windowHeight="16656" firstSheet="2" activeTab="8" xr2:uid="{FC328CB3-F1C2-4520-956D-C4D288DB9EEB}"/>
  </bookViews>
  <sheets>
    <sheet name="Halfling A" sheetId="8" r:id="rId1"/>
    <sheet name="Elfo A" sheetId="7" r:id="rId2"/>
    <sheet name="Nano A" sheetId="6" r:id="rId3"/>
    <sheet name="Ladro A" sheetId="5" r:id="rId4"/>
    <sheet name="Magic A" sheetId="4" r:id="rId5"/>
    <sheet name="Fighter A" sheetId="3" r:id="rId6"/>
    <sheet name="Cleric A" sheetId="1" r:id="rId7"/>
    <sheet name="Oggetti" sheetId="2" r:id="rId8"/>
    <sheet name="Emporio" sheetId="9" r:id="rId9"/>
    <sheet name="Foglio1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1" i="8" l="1"/>
  <c r="P11" i="7"/>
  <c r="P11" i="6"/>
  <c r="P11" i="5"/>
  <c r="P11" i="4"/>
  <c r="P11" i="3"/>
  <c r="E30" i="8"/>
  <c r="E30" i="7"/>
  <c r="E30" i="6"/>
  <c r="E30" i="5"/>
  <c r="E30" i="4"/>
  <c r="E30" i="3"/>
  <c r="E22" i="8"/>
  <c r="E23" i="8"/>
  <c r="E24" i="8"/>
  <c r="E25" i="8"/>
  <c r="E26" i="8"/>
  <c r="E27" i="8"/>
  <c r="E28" i="8"/>
  <c r="E29" i="8"/>
  <c r="E21" i="8"/>
  <c r="E22" i="7"/>
  <c r="E23" i="7"/>
  <c r="E24" i="7"/>
  <c r="E25" i="7"/>
  <c r="E26" i="7"/>
  <c r="E27" i="7"/>
  <c r="E28" i="7"/>
  <c r="E29" i="7"/>
  <c r="E21" i="7"/>
  <c r="E22" i="6"/>
  <c r="E23" i="6"/>
  <c r="E24" i="6"/>
  <c r="E25" i="6"/>
  <c r="E26" i="6"/>
  <c r="E27" i="6"/>
  <c r="E28" i="6"/>
  <c r="E29" i="6"/>
  <c r="E21" i="6"/>
  <c r="E22" i="5"/>
  <c r="E23" i="5"/>
  <c r="E24" i="5"/>
  <c r="E25" i="5"/>
  <c r="E26" i="5"/>
  <c r="E27" i="5"/>
  <c r="E28" i="5"/>
  <c r="E29" i="5"/>
  <c r="E21" i="5"/>
  <c r="E22" i="4"/>
  <c r="E23" i="4"/>
  <c r="E24" i="4"/>
  <c r="E25" i="4"/>
  <c r="E26" i="4"/>
  <c r="E27" i="4"/>
  <c r="E28" i="4"/>
  <c r="E29" i="4"/>
  <c r="E21" i="4"/>
  <c r="E22" i="3"/>
  <c r="E23" i="3"/>
  <c r="E24" i="3"/>
  <c r="E25" i="3"/>
  <c r="E26" i="3"/>
  <c r="E27" i="3"/>
  <c r="E28" i="3"/>
  <c r="E29" i="3"/>
  <c r="E21" i="3"/>
  <c r="A4" i="2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C27" i="2"/>
  <c r="C28" i="2"/>
  <c r="C29" i="2"/>
  <c r="C30" i="2"/>
  <c r="C31" i="2"/>
  <c r="C32" i="2"/>
  <c r="C33" i="2"/>
  <c r="C34" i="2"/>
  <c r="C26" i="2"/>
  <c r="D25" i="2"/>
  <c r="E25" i="2" s="1"/>
  <c r="F25" i="2" s="1"/>
  <c r="G25" i="2" s="1"/>
  <c r="H25" i="2" s="1"/>
  <c r="I25" i="2" s="1"/>
  <c r="J25" i="2" s="1"/>
  <c r="K25" i="2" s="1"/>
  <c r="L25" i="2" s="1"/>
  <c r="M25" i="2" s="1"/>
  <c r="N25" i="2" s="1"/>
  <c r="O25" i="2" s="1"/>
  <c r="P25" i="2" s="1"/>
  <c r="Q25" i="2" s="1"/>
  <c r="Q32" i="2" s="1"/>
  <c r="D40" i="8"/>
  <c r="E40" i="8" s="1"/>
  <c r="F40" i="8" s="1"/>
  <c r="G40" i="8" s="1"/>
  <c r="H40" i="8" s="1"/>
  <c r="I40" i="8" s="1"/>
  <c r="J40" i="8" s="1"/>
  <c r="K40" i="8" s="1"/>
  <c r="L40" i="8" s="1"/>
  <c r="D39" i="8"/>
  <c r="E39" i="8" s="1"/>
  <c r="F39" i="8" s="1"/>
  <c r="G39" i="8" s="1"/>
  <c r="H39" i="8" s="1"/>
  <c r="I39" i="8" s="1"/>
  <c r="J39" i="8" s="1"/>
  <c r="K39" i="8" s="1"/>
  <c r="L39" i="8" s="1"/>
  <c r="D38" i="8"/>
  <c r="E38" i="8" s="1"/>
  <c r="F38" i="8" s="1"/>
  <c r="G38" i="8" s="1"/>
  <c r="H38" i="8" s="1"/>
  <c r="I38" i="8" s="1"/>
  <c r="J38" i="8" s="1"/>
  <c r="K38" i="8" s="1"/>
  <c r="L38" i="8" s="1"/>
  <c r="E37" i="8"/>
  <c r="F37" i="8" s="1"/>
  <c r="G37" i="8" s="1"/>
  <c r="H37" i="8" s="1"/>
  <c r="I37" i="8" s="1"/>
  <c r="J37" i="8" s="1"/>
  <c r="K37" i="8" s="1"/>
  <c r="L37" i="8" s="1"/>
  <c r="I18" i="8"/>
  <c r="K18" i="8" s="1"/>
  <c r="J18" i="8" s="1"/>
  <c r="I17" i="8"/>
  <c r="K17" i="8" s="1"/>
  <c r="J17" i="8" s="1"/>
  <c r="I16" i="8"/>
  <c r="K16" i="8" s="1"/>
  <c r="J16" i="8" s="1"/>
  <c r="I15" i="8"/>
  <c r="K15" i="8" s="1"/>
  <c r="J15" i="8" s="1"/>
  <c r="K14" i="8"/>
  <c r="J14" i="8" s="1"/>
  <c r="D40" i="7"/>
  <c r="E40" i="7" s="1"/>
  <c r="F40" i="7" s="1"/>
  <c r="G40" i="7" s="1"/>
  <c r="H40" i="7" s="1"/>
  <c r="I40" i="7" s="1"/>
  <c r="J40" i="7" s="1"/>
  <c r="K40" i="7" s="1"/>
  <c r="L40" i="7" s="1"/>
  <c r="D39" i="7"/>
  <c r="E39" i="7" s="1"/>
  <c r="F39" i="7" s="1"/>
  <c r="G39" i="7" s="1"/>
  <c r="H39" i="7" s="1"/>
  <c r="I39" i="7" s="1"/>
  <c r="J39" i="7" s="1"/>
  <c r="K39" i="7" s="1"/>
  <c r="L39" i="7" s="1"/>
  <c r="D38" i="7"/>
  <c r="E38" i="7" s="1"/>
  <c r="F38" i="7" s="1"/>
  <c r="G38" i="7" s="1"/>
  <c r="H38" i="7" s="1"/>
  <c r="I38" i="7" s="1"/>
  <c r="J38" i="7" s="1"/>
  <c r="K38" i="7" s="1"/>
  <c r="L38" i="7" s="1"/>
  <c r="E37" i="7"/>
  <c r="F37" i="7" s="1"/>
  <c r="G37" i="7" s="1"/>
  <c r="H37" i="7" s="1"/>
  <c r="I37" i="7" s="1"/>
  <c r="J37" i="7" s="1"/>
  <c r="K37" i="7" s="1"/>
  <c r="L37" i="7" s="1"/>
  <c r="I18" i="7"/>
  <c r="K18" i="7" s="1"/>
  <c r="J18" i="7" s="1"/>
  <c r="I17" i="7"/>
  <c r="K17" i="7" s="1"/>
  <c r="J17" i="7" s="1"/>
  <c r="I16" i="7"/>
  <c r="K16" i="7" s="1"/>
  <c r="J16" i="7" s="1"/>
  <c r="I15" i="7"/>
  <c r="K15" i="7" s="1"/>
  <c r="J15" i="7" s="1"/>
  <c r="K14" i="7"/>
  <c r="J14" i="7" s="1"/>
  <c r="D40" i="6"/>
  <c r="E40" i="6" s="1"/>
  <c r="F40" i="6" s="1"/>
  <c r="G40" i="6" s="1"/>
  <c r="H40" i="6" s="1"/>
  <c r="I40" i="6" s="1"/>
  <c r="J40" i="6" s="1"/>
  <c r="K40" i="6" s="1"/>
  <c r="L40" i="6" s="1"/>
  <c r="D39" i="6"/>
  <c r="E39" i="6" s="1"/>
  <c r="F39" i="6" s="1"/>
  <c r="G39" i="6" s="1"/>
  <c r="H39" i="6" s="1"/>
  <c r="I39" i="6" s="1"/>
  <c r="J39" i="6" s="1"/>
  <c r="K39" i="6" s="1"/>
  <c r="L39" i="6" s="1"/>
  <c r="D38" i="6"/>
  <c r="E38" i="6" s="1"/>
  <c r="F38" i="6" s="1"/>
  <c r="G38" i="6" s="1"/>
  <c r="H38" i="6" s="1"/>
  <c r="I38" i="6" s="1"/>
  <c r="J38" i="6" s="1"/>
  <c r="K38" i="6" s="1"/>
  <c r="L38" i="6" s="1"/>
  <c r="E37" i="6"/>
  <c r="F37" i="6" s="1"/>
  <c r="G37" i="6" s="1"/>
  <c r="H37" i="6" s="1"/>
  <c r="I37" i="6" s="1"/>
  <c r="J37" i="6" s="1"/>
  <c r="K37" i="6" s="1"/>
  <c r="L37" i="6" s="1"/>
  <c r="K18" i="6"/>
  <c r="J18" i="6"/>
  <c r="K17" i="6"/>
  <c r="J17" i="6" s="1"/>
  <c r="K16" i="6"/>
  <c r="J16" i="6"/>
  <c r="K15" i="6"/>
  <c r="J15" i="6" s="1"/>
  <c r="K14" i="6"/>
  <c r="J14" i="6" s="1"/>
  <c r="I18" i="5"/>
  <c r="K18" i="5" s="1"/>
  <c r="J18" i="5" s="1"/>
  <c r="I17" i="5"/>
  <c r="K17" i="5" s="1"/>
  <c r="J17" i="5" s="1"/>
  <c r="I16" i="5"/>
  <c r="I15" i="5"/>
  <c r="K15" i="5" s="1"/>
  <c r="J15" i="5" s="1"/>
  <c r="D40" i="5"/>
  <c r="E40" i="5" s="1"/>
  <c r="F40" i="5" s="1"/>
  <c r="G40" i="5" s="1"/>
  <c r="H40" i="5" s="1"/>
  <c r="I40" i="5" s="1"/>
  <c r="J40" i="5" s="1"/>
  <c r="K40" i="5" s="1"/>
  <c r="L40" i="5" s="1"/>
  <c r="D39" i="5"/>
  <c r="E39" i="5" s="1"/>
  <c r="F39" i="5" s="1"/>
  <c r="G39" i="5" s="1"/>
  <c r="H39" i="5" s="1"/>
  <c r="I39" i="5" s="1"/>
  <c r="J39" i="5" s="1"/>
  <c r="K39" i="5" s="1"/>
  <c r="L39" i="5" s="1"/>
  <c r="D38" i="5"/>
  <c r="E38" i="5" s="1"/>
  <c r="F38" i="5" s="1"/>
  <c r="G38" i="5" s="1"/>
  <c r="H38" i="5" s="1"/>
  <c r="I38" i="5" s="1"/>
  <c r="J38" i="5" s="1"/>
  <c r="K38" i="5" s="1"/>
  <c r="L38" i="5" s="1"/>
  <c r="E37" i="5"/>
  <c r="F37" i="5" s="1"/>
  <c r="G37" i="5" s="1"/>
  <c r="H37" i="5" s="1"/>
  <c r="I37" i="5" s="1"/>
  <c r="J37" i="5" s="1"/>
  <c r="K37" i="5" s="1"/>
  <c r="L37" i="5" s="1"/>
  <c r="K16" i="5"/>
  <c r="J16" i="5" s="1"/>
  <c r="K14" i="5"/>
  <c r="J14" i="5" s="1"/>
  <c r="I18" i="4"/>
  <c r="K18" i="4" s="1"/>
  <c r="J18" i="4" s="1"/>
  <c r="I17" i="4"/>
  <c r="K17" i="4" s="1"/>
  <c r="J17" i="4" s="1"/>
  <c r="I16" i="4"/>
  <c r="K16" i="4" s="1"/>
  <c r="J16" i="4" s="1"/>
  <c r="I15" i="4"/>
  <c r="K15" i="4" s="1"/>
  <c r="J15" i="4" s="1"/>
  <c r="D40" i="4"/>
  <c r="E40" i="4" s="1"/>
  <c r="F40" i="4" s="1"/>
  <c r="G40" i="4" s="1"/>
  <c r="H40" i="4" s="1"/>
  <c r="I40" i="4" s="1"/>
  <c r="J40" i="4" s="1"/>
  <c r="K40" i="4" s="1"/>
  <c r="L40" i="4" s="1"/>
  <c r="D39" i="4"/>
  <c r="E39" i="4" s="1"/>
  <c r="F39" i="4" s="1"/>
  <c r="G39" i="4" s="1"/>
  <c r="H39" i="4" s="1"/>
  <c r="I39" i="4" s="1"/>
  <c r="J39" i="4" s="1"/>
  <c r="K39" i="4" s="1"/>
  <c r="L39" i="4" s="1"/>
  <c r="D38" i="4"/>
  <c r="E38" i="4" s="1"/>
  <c r="F38" i="4" s="1"/>
  <c r="G38" i="4" s="1"/>
  <c r="H38" i="4" s="1"/>
  <c r="I38" i="4" s="1"/>
  <c r="J38" i="4" s="1"/>
  <c r="K38" i="4" s="1"/>
  <c r="L38" i="4" s="1"/>
  <c r="E37" i="4"/>
  <c r="F37" i="4" s="1"/>
  <c r="G37" i="4" s="1"/>
  <c r="H37" i="4" s="1"/>
  <c r="I37" i="4" s="1"/>
  <c r="J37" i="4" s="1"/>
  <c r="K37" i="4" s="1"/>
  <c r="L37" i="4" s="1"/>
  <c r="K14" i="4"/>
  <c r="J14" i="4" s="1"/>
  <c r="D40" i="3"/>
  <c r="E40" i="3" s="1"/>
  <c r="F40" i="3" s="1"/>
  <c r="G40" i="3" s="1"/>
  <c r="H40" i="3" s="1"/>
  <c r="I40" i="3" s="1"/>
  <c r="J40" i="3" s="1"/>
  <c r="K40" i="3" s="1"/>
  <c r="L40" i="3" s="1"/>
  <c r="D39" i="3"/>
  <c r="E39" i="3" s="1"/>
  <c r="F39" i="3" s="1"/>
  <c r="G39" i="3" s="1"/>
  <c r="H39" i="3" s="1"/>
  <c r="I39" i="3" s="1"/>
  <c r="J39" i="3" s="1"/>
  <c r="K39" i="3" s="1"/>
  <c r="L39" i="3" s="1"/>
  <c r="D38" i="3"/>
  <c r="E38" i="3" s="1"/>
  <c r="F38" i="3" s="1"/>
  <c r="G38" i="3" s="1"/>
  <c r="H38" i="3" s="1"/>
  <c r="I38" i="3" s="1"/>
  <c r="J38" i="3" s="1"/>
  <c r="K38" i="3" s="1"/>
  <c r="L38" i="3" s="1"/>
  <c r="E37" i="3"/>
  <c r="F37" i="3" s="1"/>
  <c r="G37" i="3" s="1"/>
  <c r="H37" i="3" s="1"/>
  <c r="I37" i="3" s="1"/>
  <c r="J37" i="3" s="1"/>
  <c r="K37" i="3" s="1"/>
  <c r="L37" i="3" s="1"/>
  <c r="K18" i="3"/>
  <c r="J18" i="3" s="1"/>
  <c r="K17" i="3"/>
  <c r="J17" i="3" s="1"/>
  <c r="K16" i="3"/>
  <c r="J16" i="3" s="1"/>
  <c r="K15" i="3"/>
  <c r="J15" i="3" s="1"/>
  <c r="K14" i="3"/>
  <c r="J14" i="3" s="1"/>
  <c r="K15" i="1"/>
  <c r="J15" i="1" s="1"/>
  <c r="K16" i="1"/>
  <c r="J16" i="1" s="1"/>
  <c r="K17" i="1"/>
  <c r="J17" i="1" s="1"/>
  <c r="K18" i="1"/>
  <c r="J18" i="1" s="1"/>
  <c r="K14" i="1"/>
  <c r="J14" i="1" s="1"/>
  <c r="D39" i="1"/>
  <c r="E39" i="1" s="1"/>
  <c r="F39" i="1" s="1"/>
  <c r="G39" i="1" s="1"/>
  <c r="H39" i="1" s="1"/>
  <c r="I39" i="1" s="1"/>
  <c r="J39" i="1" s="1"/>
  <c r="K39" i="1" s="1"/>
  <c r="L39" i="1" s="1"/>
  <c r="D40" i="1"/>
  <c r="E40" i="1" s="1"/>
  <c r="F40" i="1" s="1"/>
  <c r="G40" i="1" s="1"/>
  <c r="H40" i="1" s="1"/>
  <c r="I40" i="1" s="1"/>
  <c r="J40" i="1" s="1"/>
  <c r="K40" i="1" s="1"/>
  <c r="L40" i="1" s="1"/>
  <c r="D38" i="1"/>
  <c r="E38" i="1" s="1"/>
  <c r="F38" i="1" s="1"/>
  <c r="G38" i="1" s="1"/>
  <c r="H38" i="1" s="1"/>
  <c r="I38" i="1" s="1"/>
  <c r="J38" i="1" s="1"/>
  <c r="K38" i="1" s="1"/>
  <c r="L38" i="1" s="1"/>
  <c r="E37" i="1"/>
  <c r="F37" i="1" s="1"/>
  <c r="G37" i="1" s="1"/>
  <c r="H37" i="1" s="1"/>
  <c r="I37" i="1" s="1"/>
  <c r="J37" i="1" s="1"/>
  <c r="K37" i="1" s="1"/>
  <c r="L37" i="1" s="1"/>
  <c r="F29" i="2" l="1"/>
  <c r="E29" i="2"/>
  <c r="O34" i="2"/>
  <c r="N34" i="2"/>
  <c r="M34" i="2"/>
  <c r="I32" i="2"/>
  <c r="M31" i="2"/>
  <c r="L31" i="2"/>
  <c r="K31" i="2"/>
  <c r="H29" i="2"/>
  <c r="G29" i="2"/>
  <c r="Q33" i="2"/>
  <c r="P33" i="2"/>
  <c r="J31" i="2"/>
  <c r="D29" i="2"/>
  <c r="O33" i="2"/>
  <c r="G28" i="2"/>
  <c r="I31" i="2"/>
  <c r="N33" i="2"/>
  <c r="H31" i="2"/>
  <c r="F28" i="2"/>
  <c r="E28" i="2"/>
  <c r="G31" i="2"/>
  <c r="L33" i="2"/>
  <c r="K30" i="2"/>
  <c r="D28" i="2"/>
  <c r="K33" i="2"/>
  <c r="J30" i="2"/>
  <c r="Q27" i="2"/>
  <c r="O32" i="2"/>
  <c r="I30" i="2"/>
  <c r="P27" i="2"/>
  <c r="M33" i="2"/>
  <c r="N32" i="2"/>
  <c r="H30" i="2"/>
  <c r="E27" i="2"/>
  <c r="M32" i="2"/>
  <c r="G30" i="2"/>
  <c r="D27" i="2"/>
  <c r="L32" i="2"/>
  <c r="F30" i="2"/>
  <c r="Q26" i="2"/>
  <c r="Q34" i="2"/>
  <c r="K32" i="2"/>
  <c r="E30" i="2"/>
  <c r="P26" i="2"/>
  <c r="P34" i="2"/>
  <c r="J32" i="2"/>
  <c r="I29" i="2"/>
  <c r="N26" i="2"/>
  <c r="O26" i="2"/>
  <c r="Q28" i="2"/>
  <c r="O27" i="2"/>
  <c r="M26" i="2"/>
  <c r="L34" i="2"/>
  <c r="J33" i="2"/>
  <c r="H32" i="2"/>
  <c r="F31" i="2"/>
  <c r="D30" i="2"/>
  <c r="P28" i="2"/>
  <c r="N27" i="2"/>
  <c r="L26" i="2"/>
  <c r="K34" i="2"/>
  <c r="I33" i="2"/>
  <c r="G32" i="2"/>
  <c r="E31" i="2"/>
  <c r="Q29" i="2"/>
  <c r="O28" i="2"/>
  <c r="M27" i="2"/>
  <c r="K26" i="2"/>
  <c r="J34" i="2"/>
  <c r="H33" i="2"/>
  <c r="F32" i="2"/>
  <c r="D31" i="2"/>
  <c r="P29" i="2"/>
  <c r="N28" i="2"/>
  <c r="L27" i="2"/>
  <c r="J26" i="2"/>
  <c r="I34" i="2"/>
  <c r="G33" i="2"/>
  <c r="E32" i="2"/>
  <c r="Q30" i="2"/>
  <c r="O29" i="2"/>
  <c r="M28" i="2"/>
  <c r="K27" i="2"/>
  <c r="I26" i="2"/>
  <c r="H34" i="2"/>
  <c r="F33" i="2"/>
  <c r="D32" i="2"/>
  <c r="P30" i="2"/>
  <c r="N29" i="2"/>
  <c r="L28" i="2"/>
  <c r="J27" i="2"/>
  <c r="H26" i="2"/>
  <c r="G34" i="2"/>
  <c r="E33" i="2"/>
  <c r="Q31" i="2"/>
  <c r="O30" i="2"/>
  <c r="M29" i="2"/>
  <c r="K28" i="2"/>
  <c r="I27" i="2"/>
  <c r="G26" i="2"/>
  <c r="F34" i="2"/>
  <c r="D33" i="2"/>
  <c r="P31" i="2"/>
  <c r="N30" i="2"/>
  <c r="L29" i="2"/>
  <c r="J28" i="2"/>
  <c r="H27" i="2"/>
  <c r="F26" i="2"/>
  <c r="E34" i="2"/>
  <c r="O31" i="2"/>
  <c r="M30" i="2"/>
  <c r="K29" i="2"/>
  <c r="I28" i="2"/>
  <c r="G27" i="2"/>
  <c r="E26" i="2"/>
  <c r="D34" i="2"/>
  <c r="P32" i="2"/>
  <c r="N31" i="2"/>
  <c r="L30" i="2"/>
  <c r="J29" i="2"/>
  <c r="H28" i="2"/>
  <c r="F27" i="2"/>
  <c r="D26" i="2"/>
</calcChain>
</file>

<file path=xl/sharedStrings.xml><?xml version="1.0" encoding="utf-8"?>
<sst xmlns="http://schemas.openxmlformats.org/spreadsheetml/2006/main" count="1135" uniqueCount="376">
  <si>
    <t>Giocatore</t>
  </si>
  <si>
    <t>Allineamento</t>
  </si>
  <si>
    <t>FOR</t>
  </si>
  <si>
    <t>DES</t>
  </si>
  <si>
    <t>COS</t>
  </si>
  <si>
    <t>INT</t>
  </si>
  <si>
    <t>SAG</t>
  </si>
  <si>
    <t>CAR</t>
  </si>
  <si>
    <t>CA</t>
  </si>
  <si>
    <t>PF</t>
  </si>
  <si>
    <t>Tiri salvezza</t>
  </si>
  <si>
    <t>Bacchetta</t>
  </si>
  <si>
    <t>Soffio Drago</t>
  </si>
  <si>
    <t>Incantesimi Bastone Magico</t>
  </si>
  <si>
    <t>Pietrificazione Paralisi</t>
  </si>
  <si>
    <t>Arma</t>
  </si>
  <si>
    <t>Lingue Parlate</t>
  </si>
  <si>
    <t>Movimento</t>
  </si>
  <si>
    <t>Correre</t>
  </si>
  <si>
    <t>Range</t>
  </si>
  <si>
    <t>AC 9</t>
  </si>
  <si>
    <t>Combattimento</t>
  </si>
  <si>
    <t>Giornaliero</t>
  </si>
  <si>
    <t>melee</t>
  </si>
  <si>
    <t>Pugnale</t>
  </si>
  <si>
    <t>Arco Lungo</t>
  </si>
  <si>
    <t>Danno</t>
  </si>
  <si>
    <t>Note</t>
  </si>
  <si>
    <t>1d6</t>
  </si>
  <si>
    <t>Abilità</t>
  </si>
  <si>
    <t>1 Livello</t>
  </si>
  <si>
    <t>2 Livello</t>
  </si>
  <si>
    <t>1/6 Ascoltare rumori</t>
  </si>
  <si>
    <t>Classe</t>
  </si>
  <si>
    <t>Esperienza</t>
  </si>
  <si>
    <t>Arrampicarsi</t>
  </si>
  <si>
    <t>Nuotare</t>
  </si>
  <si>
    <t>Esplorazione</t>
  </si>
  <si>
    <t>3 Livello</t>
  </si>
  <si>
    <t>mo</t>
  </si>
  <si>
    <t>mr</t>
  </si>
  <si>
    <t>Incantesimi Scelti</t>
  </si>
  <si>
    <t>pp</t>
  </si>
  <si>
    <t>ma</t>
  </si>
  <si>
    <t>Qt.</t>
  </si>
  <si>
    <t>Oggetto</t>
  </si>
  <si>
    <t>Slot</t>
  </si>
  <si>
    <t>-</t>
  </si>
  <si>
    <t>Esempio</t>
  </si>
  <si>
    <t>Sutan Ambermoor</t>
  </si>
  <si>
    <t>Neutrale</t>
  </si>
  <si>
    <t>Veleno, Raggio della Morte, +1 mg</t>
  </si>
  <si>
    <t>Mazza</t>
  </si>
  <si>
    <t>Fionda</t>
  </si>
  <si>
    <t>1/6 trovare porte segrete</t>
  </si>
  <si>
    <t>1/6 ascoltare attr. Porte</t>
  </si>
  <si>
    <t>Slot/Equipaggiamento</t>
  </si>
  <si>
    <t>3/Armatura a piastre</t>
  </si>
  <si>
    <t>1/Mazza</t>
  </si>
  <si>
    <t>1/Fionda</t>
  </si>
  <si>
    <t>0/Vestiti, Cintura, Stivali</t>
  </si>
  <si>
    <t>0/Simbolo sacro</t>
  </si>
  <si>
    <t>2/Scudo +1</t>
  </si>
  <si>
    <t>+6</t>
  </si>
  <si>
    <t>4 Livello</t>
  </si>
  <si>
    <t>Cura Ferite Gravi  2d6+2</t>
  </si>
  <si>
    <t>Piedi</t>
  </si>
  <si>
    <t>Metri</t>
  </si>
  <si>
    <t>Quad.</t>
  </si>
  <si>
    <t>19km</t>
  </si>
  <si>
    <t>12 mi</t>
  </si>
  <si>
    <t>1R</t>
  </si>
  <si>
    <t>1T</t>
  </si>
  <si>
    <t>1G</t>
  </si>
  <si>
    <t>Scacciare 2d6</t>
  </si>
  <si>
    <t>Umano</t>
  </si>
  <si>
    <t>Cura Ferite Leggere 1d6+1, Protezione dal Male -1TxC 12T</t>
  </si>
  <si>
    <t>Arma Potenziata +1d6 1T</t>
  </si>
  <si>
    <t>Benedizione +1TxC 6R, Trovare Trap./Segr. 2T 30'</t>
  </si>
  <si>
    <t>Acqua Santa</t>
  </si>
  <si>
    <t>40/80/160'</t>
  </si>
  <si>
    <t>10/30/50'</t>
  </si>
  <si>
    <t>1d8</t>
  </si>
  <si>
    <t>20 Pietre</t>
  </si>
  <si>
    <t>1d4</t>
  </si>
  <si>
    <t>Apre porte bloccate con 1-2 su 1d6</t>
  </si>
  <si>
    <t>Penalità a attacchi a distanza -1, CA +1, iniziativa -1</t>
  </si>
  <si>
    <t>Nessun modificatore</t>
  </si>
  <si>
    <t>Sa scrivere parole semplici</t>
  </si>
  <si>
    <t>+1 ai TS contro magia</t>
  </si>
  <si>
    <t>Reazioni PNG +0, massimo 4 seguaci, morale seguaci 7</t>
  </si>
  <si>
    <t>1/Fiale Acqua santa (2)</t>
  </si>
  <si>
    <t>Mod.</t>
  </si>
  <si>
    <t>Iniziativa</t>
  </si>
  <si>
    <t>Razza</t>
  </si>
  <si>
    <t>30.000</t>
  </si>
  <si>
    <t>1R = 10 Sec. | 1T = 10 Min.</t>
  </si>
  <si>
    <t>1°/2</t>
  </si>
  <si>
    <t>2°/2</t>
  </si>
  <si>
    <t>3°/1</t>
  </si>
  <si>
    <t>4°/1</t>
  </si>
  <si>
    <t xml:space="preserve">Chierico </t>
  </si>
  <si>
    <t>6°</t>
  </si>
  <si>
    <t>Corazzato Lento Curatore</t>
  </si>
  <si>
    <t>Melisizwe Jeighmoor</t>
  </si>
  <si>
    <t>Guerriero</t>
  </si>
  <si>
    <t>Ascia da B.</t>
  </si>
  <si>
    <t>1d8+3</t>
  </si>
  <si>
    <t>1d4+2</t>
  </si>
  <si>
    <t>70/140/210'</t>
  </si>
  <si>
    <t>+8</t>
  </si>
  <si>
    <t>1 mano 1d6+3</t>
  </si>
  <si>
    <t>1/Pugnali</t>
  </si>
  <si>
    <t>3/Arco Lungo</t>
  </si>
  <si>
    <t>2/Ascia da Battaglia +1</t>
  </si>
  <si>
    <t>Apre porte bloccate con 1-4 su 1d6</t>
  </si>
  <si>
    <t>Bonus a attacchi a distanza, CA, iniziativa</t>
  </si>
  <si>
    <t>Penalità ai TS contro magia</t>
  </si>
  <si>
    <t>lanciabile 10/20/30'</t>
  </si>
  <si>
    <t>12 freccie</t>
  </si>
  <si>
    <t>1/Faretra</t>
  </si>
  <si>
    <t>Guerriero Corazzato Arciere</t>
  </si>
  <si>
    <t>Ascia due mani</t>
  </si>
  <si>
    <t>Arco lungo</t>
  </si>
  <si>
    <t>Ascia/pugnale + Scudo</t>
  </si>
  <si>
    <t>Combinazioni</t>
  </si>
  <si>
    <t>Juven Lionsbane</t>
  </si>
  <si>
    <t>Mago</t>
  </si>
  <si>
    <t>5°</t>
  </si>
  <si>
    <t>Apre porte bloccate con 1 su 1d6</t>
  </si>
  <si>
    <t>Bonus punti ferita aggiunti al totale</t>
  </si>
  <si>
    <t>Legge e scrive più lingue</t>
  </si>
  <si>
    <t>Reazioni PNG -1, massimo 3 seguaci, morale seguaci 6</t>
  </si>
  <si>
    <t>38km</t>
  </si>
  <si>
    <t>24mi</t>
  </si>
  <si>
    <t>2/Bastone</t>
  </si>
  <si>
    <t>1/Pugnali (2)</t>
  </si>
  <si>
    <t>1/Libro Incantesimi</t>
  </si>
  <si>
    <t>Bastone</t>
  </si>
  <si>
    <t>1d4-1</t>
  </si>
  <si>
    <t>10/20/30'</t>
  </si>
  <si>
    <t>Palla di Fuoco 5d6 240</t>
  </si>
  <si>
    <t>Dardo Incantato 2d6+2 150, Scudo CA2</t>
  </si>
  <si>
    <t>Immagine Speculare 1d4 6T, Levitare 11T</t>
  </si>
  <si>
    <t>Fragile Arcano Potente</t>
  </si>
  <si>
    <t>Ladro</t>
  </si>
  <si>
    <t>Cesaire Thorn</t>
  </si>
  <si>
    <t>12mi</t>
  </si>
  <si>
    <t>Spada</t>
  </si>
  <si>
    <t>Arco Corto</t>
  </si>
  <si>
    <t>50/100/150'</t>
  </si>
  <si>
    <t>2/Armatura di cuoio +1</t>
  </si>
  <si>
    <t>2/Arco Corto</t>
  </si>
  <si>
    <t>1/Atrezzi da scasso</t>
  </si>
  <si>
    <t>2/Spada</t>
  </si>
  <si>
    <t>3/6 Ascoltare rumori</t>
  </si>
  <si>
    <t>3/6 ascoltare attr. Porte</t>
  </si>
  <si>
    <t>Scassinare</t>
  </si>
  <si>
    <t>Borseggiare</t>
  </si>
  <si>
    <t>Muoversi Silenziosamente</t>
  </si>
  <si>
    <t>Scalare Parti Lisce</t>
  </si>
  <si>
    <t>Nascondersi nelle Ombre</t>
  </si>
  <si>
    <t>Trov./Rim. Trappole</t>
  </si>
  <si>
    <t>Leg. Lingue non Magiche</t>
  </si>
  <si>
    <t>Attacco alle Spalle +4 TxC, Danno x 2</t>
  </si>
  <si>
    <t>Agile Furtivo Preciso</t>
  </si>
  <si>
    <t>Seska Poluth</t>
  </si>
  <si>
    <t>Nano</t>
  </si>
  <si>
    <t>+7</t>
  </si>
  <si>
    <t>Apre porte bloccate con 1-3 su 1d6</t>
  </si>
  <si>
    <t>Legge e scrive nella lingua nativa</t>
  </si>
  <si>
    <t>Bonus ai TS contro magia</t>
  </si>
  <si>
    <t>Common, Nanco, Gnomesco, Koboldo,Goblin</t>
  </si>
  <si>
    <t>Infravsione 60'/12q</t>
  </si>
  <si>
    <t>1d8+1</t>
  </si>
  <si>
    <t>50/100/150</t>
  </si>
  <si>
    <t>1d4+1</t>
  </si>
  <si>
    <t>1 mano  1d6+1</t>
  </si>
  <si>
    <t>2/Ascia da Battaglia</t>
  </si>
  <si>
    <t>2/Scudo</t>
  </si>
  <si>
    <t>Nano Corazzato Resistente</t>
  </si>
  <si>
    <t>Conno Darhov</t>
  </si>
  <si>
    <t>Elfo</t>
  </si>
  <si>
    <t>33,650</t>
  </si>
  <si>
    <t>2/6 trovare porte segrete</t>
  </si>
  <si>
    <t>Immune paralisi Ghoul</t>
  </si>
  <si>
    <t>1d8+2</t>
  </si>
  <si>
    <t>Fulmine 5d6 60'x5'</t>
  </si>
  <si>
    <t>Dardo Incantato 2d6+2 150' x 2</t>
  </si>
  <si>
    <t>Immagine Speculare 1d4 6T, Scassinare 60'</t>
  </si>
  <si>
    <t>2/Cotta di maglia</t>
  </si>
  <si>
    <t>Guerriero Arcano Versatile</t>
  </si>
  <si>
    <t>2/6 ascoltare attr. Porte</t>
  </si>
  <si>
    <t>18mi</t>
  </si>
  <si>
    <t>29km</t>
  </si>
  <si>
    <t>Azzeil Summerhill</t>
  </si>
  <si>
    <t>Halfling</t>
  </si>
  <si>
    <t>1/Spada Corta</t>
  </si>
  <si>
    <t>1/Sacchetto Pietre</t>
  </si>
  <si>
    <t>Spada Corta</t>
  </si>
  <si>
    <t>1d6+1</t>
  </si>
  <si>
    <t>12 pietre</t>
  </si>
  <si>
    <t>All'aperto (boschi/sottobosco): 90% di non essere individuato</t>
  </si>
  <si>
    <t>In dungeon (ombre, fermo e silenzioso): 1-2 su 1d6 di non essere visto</t>
  </si>
  <si>
    <t>Halfling vs Nemici Grandi: +2 CA contro creature più grandi di un umano</t>
  </si>
  <si>
    <t>2/6 Ascoltare rumori</t>
  </si>
  <si>
    <t>THAC0</t>
  </si>
  <si>
    <t>THAC0 - Tiro = CA Colpita</t>
  </si>
  <si>
    <t>Note/Cariche</t>
  </si>
  <si>
    <t>Nessuna</t>
  </si>
  <si>
    <t>Cuoio</t>
  </si>
  <si>
    <t>Cuoio Borchiato</t>
  </si>
  <si>
    <t>Cotta di maglie</t>
  </si>
  <si>
    <t>Scudo</t>
  </si>
  <si>
    <t>Arm. a bande</t>
  </si>
  <si>
    <t>Arm. a Piastre</t>
  </si>
  <si>
    <t>Armatura</t>
  </si>
  <si>
    <t>U/E</t>
  </si>
  <si>
    <t>N</t>
  </si>
  <si>
    <t>H</t>
  </si>
  <si>
    <t>40'</t>
  </si>
  <si>
    <t>20'</t>
  </si>
  <si>
    <t>30'</t>
  </si>
  <si>
    <t>TS: tiro ≥ valore = successo</t>
  </si>
  <si>
    <t>Copertura vs area: Parz. +2 TS, Quasi tot. +4 TS</t>
  </si>
  <si>
    <t>by Maru</t>
  </si>
  <si>
    <t>melee lenta</t>
  </si>
  <si>
    <t>Sovraccarico</t>
  </si>
  <si>
    <t>Slot Totali</t>
  </si>
  <si>
    <t>Slot Occupati</t>
  </si>
  <si>
    <t>Slot Bonus</t>
  </si>
  <si>
    <t>Afferrrare, Liberarsi da presa, Azione Pronta</t>
  </si>
  <si>
    <t>Carica, Ritirata difensiva, Difesa totale</t>
  </si>
  <si>
    <t xml:space="preserve">Attraversare alleati ©, Passare posizione © , </t>
  </si>
  <si>
    <t>Spinta, Disarmo, Parare (F), Colpo potente (F)</t>
  </si>
  <si>
    <t>Azione pronta, Preparare per carica</t>
  </si>
  <si>
    <t>Banca</t>
  </si>
  <si>
    <t>Trasportati</t>
  </si>
  <si>
    <t>Prone: +2 TxC nemici, metà mov per alzarsi</t>
  </si>
  <si>
    <t>Tiro oltre 1* alleato: -2 TxC, 1 Colpito Alleato</t>
  </si>
  <si>
    <t>Distanza:   corta +1, lunga -1</t>
  </si>
  <si>
    <t>Freccie</t>
  </si>
  <si>
    <t>Quadrelli</t>
  </si>
  <si>
    <t>Pietre</t>
  </si>
  <si>
    <t>Dardi</t>
  </si>
  <si>
    <t>Giavellotti</t>
  </si>
  <si>
    <t>Olio</t>
  </si>
  <si>
    <t>Torce</t>
  </si>
  <si>
    <t xml:space="preserve">Anelli, amuleti, pergamene, chiavi, gemme </t>
  </si>
  <si>
    <t>Pozioni, acqua santa (fiale)</t>
  </si>
  <si>
    <t>1/3</t>
  </si>
  <si>
    <t>1/2</t>
  </si>
  <si>
    <t>Olio (fiasche)</t>
  </si>
  <si>
    <t>Armi piccole, torce (6), corda, faretra, bacchette, sacco (+3 slot)</t>
  </si>
  <si>
    <t>Armi grandi, armatura pesante, scudo grande, arco lungo, balestra p.</t>
  </si>
  <si>
    <t>Armi medie, arm. leggere, scudo, arco c., balestra l., stivali, mantello</t>
  </si>
  <si>
    <t>Monete: 100 mo = 1 slot</t>
  </si>
  <si>
    <t>Slot frazionari: ⅓ = 1-3 oggetti per slot | ½ = 1-2 oggetti per slot</t>
  </si>
  <si>
    <t>Sacco grande: +3 slot extra (oggetti non fragili)</t>
  </si>
  <si>
    <t>Borsa Conservante: +5 slot extra</t>
  </si>
  <si>
    <t>Imbottita</t>
  </si>
  <si>
    <t>Pias. Completa</t>
  </si>
  <si>
    <t>Scudo Torre</t>
  </si>
  <si>
    <t>-10' Mov</t>
  </si>
  <si>
    <t>+5</t>
  </si>
  <si>
    <t>Qtà</t>
  </si>
  <si>
    <t>Costo</t>
  </si>
  <si>
    <t>Corda (15m)</t>
  </si>
  <si>
    <t>5 ma</t>
  </si>
  <si>
    <t>Asta 10 piedi</t>
  </si>
  <si>
    <t>Torce (6)</t>
  </si>
  <si>
    <t>Olio (fiasca)</t>
  </si>
  <si>
    <t>1 mo</t>
  </si>
  <si>
    <t>Lanterna</t>
  </si>
  <si>
    <t>5 mo</t>
  </si>
  <si>
    <t>Specchio (piccolo)</t>
  </si>
  <si>
    <t>2 mo</t>
  </si>
  <si>
    <t>Chiodi ferro (12)</t>
  </si>
  <si>
    <t>Martello</t>
  </si>
  <si>
    <t>Sacco (grande)</t>
  </si>
  <si>
    <t>Gesso (12 pezzi)</t>
  </si>
  <si>
    <t>Acqua Santa (fiala)</t>
  </si>
  <si>
    <t>12 mo</t>
  </si>
  <si>
    <t>Frecce (20)</t>
  </si>
  <si>
    <t>Quadrelli (30)</t>
  </si>
  <si>
    <t>Pietre fionda (20)</t>
  </si>
  <si>
    <t>Pozione Cura Leggera</t>
  </si>
  <si>
    <t>150 mo</t>
  </si>
  <si>
    <t>Pozione Cura Grave</t>
  </si>
  <si>
    <t>300 mo</t>
  </si>
  <si>
    <t>Pozione Velocità</t>
  </si>
  <si>
    <t>250 mo</t>
  </si>
  <si>
    <t>Pozione Invisibilità</t>
  </si>
  <si>
    <t>200 mo</t>
  </si>
  <si>
    <t>Pozione Levitazione</t>
  </si>
  <si>
    <t>Pergamena: Dardo Incantato</t>
  </si>
  <si>
    <t>50 mo</t>
  </si>
  <si>
    <t>Pergamena: Scudo</t>
  </si>
  <si>
    <t>Pergamena: Invisibilità</t>
  </si>
  <si>
    <t>100 mo</t>
  </si>
  <si>
    <t>Pergamena: Ragnatela</t>
  </si>
  <si>
    <t>Pergamena: Palla di Fuoco</t>
  </si>
  <si>
    <t>Pergamena: Fulmine</t>
  </si>
  <si>
    <t>Pergamena: Cura Ferite Leggere</t>
  </si>
  <si>
    <t>Pergamena: Protezione dal Male</t>
  </si>
  <si>
    <t>Pergamena: Luce</t>
  </si>
  <si>
    <t>Pergamena: Benedizione</t>
  </si>
  <si>
    <t>½</t>
  </si>
  <si>
    <t>Pergamena: Rimuovi Maledizione</t>
  </si>
  <si>
    <t>Pozione Resistenza al Freddo</t>
  </si>
  <si>
    <t>Pozione Forza Gigante</t>
  </si>
  <si>
    <t>Pozione Volo</t>
  </si>
  <si>
    <t>400 mo</t>
  </si>
  <si>
    <t>Calzini della Zia Elfica</t>
  </si>
  <si>
    <t>Maglione di Nonno Gelo</t>
  </si>
  <si>
    <t>Campanella del "Ti Penso"</t>
  </si>
  <si>
    <t>Panettone dell'Ultimo Minuto</t>
  </si>
  <si>
    <t>25 mo</t>
  </si>
  <si>
    <t>15 mo</t>
  </si>
  <si>
    <t>30 mo</t>
  </si>
  <si>
    <t>Brutto. Caldo. Impossibile da togliere senza offendere qualcuno.</t>
  </si>
  <si>
    <t>Suona solo quando serve davvero. O quando ti manca qualcuno.</t>
  </si>
  <si>
    <t>Comprato di corsa, donato con amore. Non finisce mai, come i sensi di colpa.</t>
  </si>
  <si>
    <t>Copertura: Parziale -2 TxC | Quasi Totale -4 TxC</t>
  </si>
  <si>
    <t>Supporta 3 persone/500 lb. Arrampicata senza tiro se non sotto stress. Sotto attacco: DES per non cadere.</t>
  </si>
  <si>
    <t>Attiva trappole a 10' (2□). Sondare pavimenti/soffitti. Due mani.</t>
  </si>
  <si>
    <t>Luce 30' (6□), 1 ora ciascuna. Una mano. Come arma: 1d4 fuoco. Accendere: 1 round.</t>
  </si>
  <si>
    <t>Lanciato acceso (10'): TxC vs CA 9 a terra, CA normale su creatura. 1d8 fuoco, brucia 2 round (1d8/round). Pozza: 3' diametro, 1d8 a chi attraversa, 1 turno.</t>
  </si>
  <si>
    <t>Luce 30' (6□), 4 ore per fiasca olio. Una mano. Appendibile. Vento non la spegne.</t>
  </si>
  <si>
    <t>Guardare angoli senza esporsi. Riflette sguardo pietrificante: mostro TS Pietrificazione o subisce effetto.</t>
  </si>
  <si>
    <t>Blocca porta: nemico deve sfondare (FOR o 2d6 alla porta). Rimuovere: 1 turno senza martello, 1 round con.</t>
  </si>
  <si>
    <t>Piantare/rimuovere chiodi (1 round). Arma improvvisata: 1d4.</t>
  </si>
  <si>
    <t>+3 slot extra. Solo non fragili. Estrarre: 1 round (azione completa).</t>
  </si>
  <si>
    <t>Segnare percorso, pareti, porte.</t>
  </si>
  <si>
    <t>⅓</t>
  </si>
  <si>
    <t>Lanciata (10'): TxC normale. 1d8 vs non-morti/infernali. Ignora armatura (CA 9). Si rompe all'impatto.</t>
  </si>
  <si>
    <t>Per arco corto/lungo. Recuperabili 50% (1-3 su d6).</t>
  </si>
  <si>
    <t>Per balestra. Recuperabili 50%.</t>
  </si>
  <si>
    <t>—</t>
  </si>
  <si>
    <t>Per fionda. Gratuite se raccolte. Recuperabili 50%.</t>
  </si>
  <si>
    <t>Cura 1d6+1 HP. Bere = azione (no attacco, sì movimento). Da zaino: 1 round estrarre + 1 round bere.</t>
  </si>
  <si>
    <t>Cura 2d6+2 HP. Stesse regole Cura Leggera.</t>
  </si>
  <si>
    <t>Durata 1 turno (10 round). Movimento x2, 2 attacchi/round. Non cumulabile.</t>
  </si>
  <si>
    <t>Durata: fino a interruzione. Termina se attacchi/lanci incantesimo/tocchi nemico. Nemici -4 TxC. Infravisione non rileva.</t>
  </si>
  <si>
    <t>Durata 1 turno (10 round). Immune a tutti i danni freddo.</t>
  </si>
  <si>
    <t>Durata 1 turno (10 round). FOR 18 (+3 TxC/danni mischia). Non vale per distanza.</t>
  </si>
  <si>
    <t>Durata 6 turni (60 round). Solo verticale 6'/round (20' senza carico). No movimento orizzontale autonomo.</t>
  </si>
  <si>
    <t>Durata 1d6 turni (tirare quando bevi). Movimento 120' (40' combattimento). Se termina in volo: 1d6/10' caduta.</t>
  </si>
  <si>
    <t>Solo Mago/Elfo. Liv.5: 1 dardo, 1d6+1 danni. Colpo automatico. Gittata 150'. Azione: leggere.</t>
  </si>
  <si>
    <t>Solo Mago/Elfo. Durata 2 turni (20 round). CA 2 vs distanza, CA 4 vs mischia. Blocca Dardo Incantato.</t>
  </si>
  <si>
    <t>Solo Mago/Elfo. Bersaglio: sé o 1 toccato. Durata: fino a interruzione. Nemici -4 TxC.</t>
  </si>
  <si>
    <t>Solo Mago/Elfo. Area 10'x10'x10' (2x2x2□). Gittata 10'. Liberarsi: FOR ogni round (1 nat. FOR norm, 1-2 FOR 13-17, 1-3 FOR 18). Fuoco brucia in 2 round (1d6 a intrappolati).</t>
  </si>
  <si>
    <t>Solo Mago/Elfo. Liv.5: 5d6 fuoco. TS Incantesimi dimezza. Sfera 20' raggio (4□). Gittata 240'. Espande in spazi chiusi.</t>
  </si>
  <si>
    <t>Solo Mago/Elfo. Liv.5: 5d6 fulmine. TS Incantesimi dimezza. Linea 60'x5' (12x1□). Rimbalza su muri (tot. 60'). Colpisce tutti inclusi alleati.</t>
  </si>
  <si>
    <t>Solo Chierico. Cura 1d6+1 HP. Tocco. Alternativa: 1d6+1 danni a non-morti (TxC richiesto).</t>
  </si>
  <si>
    <t>Mago/Elfo/Chierico. Durata 12 turni (120 round). Creature malvagie -1 TxC, +1 tuoi TS. Evocati non ti toccano.</t>
  </si>
  <si>
    <t>Mago/Elfo/Chierico. Durata 12 turni. Luce 15' (3□). Su oggetto o punto fisso. Su occhi nemico: TS Incantesimi o accecato (-4 TxC, nemici +4). Gittata 120'.</t>
  </si>
  <si>
    <t>Solo Chierico. Durata 6 turni (60 round). Alleati entro 60': +1 TxC, +1 morale, +1 danni. Solo PRIMA del combattimento.</t>
  </si>
  <si>
    <t>Solo Chierico. Rimuove 1 maledizione da creatura/oggetto toccato. Non funziona su licantropia.</t>
  </si>
  <si>
    <t>Li ho fatti io, caro. Profumano di biscotti e senso di colpa.</t>
  </si>
  <si>
    <t>Attiva trappole a 10'/3m/2□. Sondare pavimenti/soffitti. Due mani.</t>
  </si>
  <si>
    <t>Luce 30'/9m/6□, 1 ora ciascuna. Una mano. Come arma: 1d4 fuoco. Accendere: 1 round.</t>
  </si>
  <si>
    <t>Lanciato acceso (10'/3m/2□): TxC vs CA 9 a terra, CA normale su creatura. 1d8 fuoco, brucia 2 round (1d8/round). Pozza: 3'/1m diametro, 1d8 a chi attraversa, 1 turno.</t>
  </si>
  <si>
    <t>Luce 30'/9m/6□, 4 ore per fiasca olio. Una mano. Appendibile. Vento non la spegne.</t>
  </si>
  <si>
    <t>Lanciata (10'/3m/2□): TxC normale. 1d8 vs non-morti/infernali. Ignora armatura (CA 9). Si rompe all'impatto.</t>
  </si>
  <si>
    <t>Durata 6 turni (60 round). Solo verticale 6'/1.8m/round (20'/6m senza carico). No movimento orizzontale autonomo.</t>
  </si>
  <si>
    <t>Durata 1d6 turni (tirare quando bevi). Movimento 120'/36m/24□ (40'/12m/8□ combattimento). Se termina in volo: 1d6 per 10'/3m caduta.</t>
  </si>
  <si>
    <t>Solo Mago/Elfo. Liv.5: 1 dardo, 1d6+1 danni. Colpo automatico. Gittata 150'/45m/30□. Azione: leggere.</t>
  </si>
  <si>
    <t>Solo Mago/Elfo. Area 10'x10'x10'/3mx3mx3m/2□x2□x2□. Gittata 10'/3m/2□. Liberarsi: FOR ogni round (1 nat. FOR norm, 1-2 FOR 13-17, 1-3 FOR 18). Fuoco brucia in 2 round (1d6 a intrappolati).</t>
  </si>
  <si>
    <t>Solo Mago/Elfo. Liv.5: 5d6 fuoco. TS Incantesimi dimezza. Sfera raggio 20'/6m/4□. Gittata 240'/72m/48□. Espande in spazi chiusi.</t>
  </si>
  <si>
    <t>Solo Mago/Elfo. Liv.5: 5d6 fulmine. TS Incantesimi dimezza. Linea 60'x5'/18mx1.5m/12□x1□. Rimbalza su muri (tot. 60'/18m). Colpisce tutti inclusi alleati.</t>
  </si>
  <si>
    <t>Mago/Elfo/Chierico. Durata 12 turni. Luce raggio 15'/4.5m/3□. Su oggetto o punto fisso. Su occhi nemico: TS Incantesimi o accecato (-4 TxC, nemici +4). Gittata 120'/36m/24□.</t>
  </si>
  <si>
    <t>Solo Chierico. Durata 6 turni (60 round). Alleati entro 60'/18m/12□: +1 TxC, +1 morale, +1 danni. Solo PRIMA del combattimento.</t>
  </si>
  <si>
    <t>Compra ora, pentiti dopo. Se torni vivo, sconto del 10%.</t>
  </si>
  <si>
    <t>Pozioni Cura — "Bevi prima di morire!"</t>
  </si>
  <si>
    <t>Pergamena Fulmine — "60 piedi di 'non mi hai sentito la prima volta'."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</si>
</sst>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26"/>
      <color theme="8" tint="-0.249977111117893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26"/>
      <color theme="5"/>
      <name val="Aptos Narrow"/>
      <family val="2"/>
      <scheme val="minor"/>
    </font>
    <font>
      <b/>
      <sz val="16"/>
      <color theme="6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26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9"/>
      <color rgb="FFC00000"/>
      <name val="Aptos Narrow"/>
      <family val="2"/>
      <scheme val="minor"/>
    </font>
    <font>
      <sz val="11"/>
      <color theme="1"/>
      <name val="Aptos"/>
      <family val="2"/>
    </font>
    <font>
      <b/>
      <sz val="14"/>
      <color theme="0"/>
      <name val="Aptos"/>
      <family val="2"/>
    </font>
    <font>
      <b/>
      <sz val="12"/>
      <color theme="0"/>
      <name val="Aptos"/>
      <family val="2"/>
    </font>
    <font>
      <b/>
      <sz val="11"/>
      <color theme="0"/>
      <name val="Aptos"/>
      <family val="2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Aptos"/>
      <family val="2"/>
    </font>
    <font>
      <b/>
      <sz val="10"/>
      <color theme="1"/>
      <name val="Aptos Narrow"/>
      <family val="2"/>
      <scheme val="minor"/>
    </font>
    <font>
      <b/>
      <sz val="12"/>
      <color rgb="FFC00000"/>
      <name val="Aptos"/>
      <family val="2"/>
    </font>
    <font>
      <i/>
      <sz val="9"/>
      <color theme="1"/>
      <name val="Aptos"/>
      <family val="2"/>
    </font>
    <font>
      <b/>
      <sz val="16"/>
      <name val="Aptos Black"/>
      <family val="2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2"/>
      <name val="Aptos Narrow"/>
      <family val="2"/>
      <scheme val="minor"/>
    </font>
    <font>
      <i/>
      <sz val="10"/>
      <name val="Aptos Narrow"/>
      <family val="2"/>
      <scheme val="minor"/>
    </font>
    <font>
      <i/>
      <sz val="10"/>
      <color theme="1"/>
      <name val="Aptos Narrow"/>
      <family val="2"/>
      <scheme val="minor"/>
    </font>
    <font>
      <b/>
      <sz val="12"/>
      <name val="Aptos"/>
      <family val="2"/>
    </font>
    <font>
      <sz val="10"/>
      <name val="Aptos Narrow"/>
      <family val="2"/>
      <scheme val="minor"/>
    </font>
    <font>
      <b/>
      <sz val="10"/>
      <color theme="0"/>
      <name val="Aptos"/>
      <family val="2"/>
    </font>
    <font>
      <b/>
      <sz val="10"/>
      <color theme="1"/>
      <name val="Aptos"/>
      <family val="2"/>
    </font>
    <font>
      <sz val="10"/>
      <color theme="1"/>
      <name val="Aptos"/>
      <family val="2"/>
    </font>
    <font>
      <b/>
      <sz val="18"/>
      <color theme="6"/>
      <name val="Aptos Narrow"/>
      <family val="2"/>
      <scheme val="minor"/>
    </font>
    <font>
      <b/>
      <sz val="20"/>
      <color theme="6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6"/>
      <color theme="0"/>
      <name val="Aptos"/>
      <family val="2"/>
    </font>
    <font>
      <b/>
      <sz val="14"/>
      <color theme="1"/>
      <name val="Aptos"/>
      <family val="2"/>
    </font>
    <font>
      <sz val="14"/>
      <color theme="1"/>
      <name val="Aptos"/>
      <family val="2"/>
    </font>
  </fonts>
  <fills count="1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</cellStyleXfs>
  <cellXfs count="20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8" fillId="0" borderId="0" xfId="0" applyFont="1"/>
    <xf numFmtId="0" fontId="20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0" fontId="0" fillId="6" borderId="3" xfId="0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6" borderId="5" xfId="0" applyFill="1" applyBorder="1" applyAlignment="1">
      <alignment vertical="center"/>
    </xf>
    <xf numFmtId="0" fontId="0" fillId="0" borderId="3" xfId="0" quotePrefix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21" fillId="9" borderId="4" xfId="0" applyFont="1" applyFill="1" applyBorder="1" applyAlignment="1">
      <alignment horizontal="center" vertical="center"/>
    </xf>
    <xf numFmtId="0" fontId="18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27" fillId="0" borderId="0" xfId="0" applyFont="1" applyAlignment="1">
      <alignment horizontal="right" vertical="center"/>
    </xf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8" xfId="0" applyBorder="1" applyAlignment="1">
      <alignment vertical="center"/>
    </xf>
    <xf numFmtId="0" fontId="29" fillId="0" borderId="0" xfId="0" applyFont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30" fillId="0" borderId="0" xfId="0" applyFont="1" applyAlignment="1">
      <alignment horizontal="left" vertical="center"/>
    </xf>
    <xf numFmtId="0" fontId="29" fillId="0" borderId="0" xfId="0" applyFont="1" applyAlignment="1">
      <alignment vertical="center"/>
    </xf>
    <xf numFmtId="0" fontId="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1" fillId="0" borderId="1" xfId="0" applyFont="1" applyBorder="1" applyAlignment="1">
      <alignment horizontal="left"/>
    </xf>
    <xf numFmtId="0" fontId="5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4" borderId="2" xfId="0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1" fillId="4" borderId="2" xfId="0" applyFont="1" applyFill="1" applyBorder="1" applyAlignment="1">
      <alignment horizontal="center" vertical="center"/>
    </xf>
    <xf numFmtId="0" fontId="30" fillId="0" borderId="1" xfId="0" applyFont="1" applyBorder="1" applyAlignment="1">
      <alignment horizontal="left" vertical="center"/>
    </xf>
    <xf numFmtId="0" fontId="29" fillId="0" borderId="1" xfId="0" applyFont="1" applyBorder="1" applyAlignment="1">
      <alignment horizontal="left" vertical="center"/>
    </xf>
    <xf numFmtId="0" fontId="30" fillId="0" borderId="1" xfId="0" applyFont="1" applyBorder="1" applyAlignment="1">
      <alignment horizontal="center" vertical="center"/>
    </xf>
    <xf numFmtId="0" fontId="29" fillId="0" borderId="2" xfId="0" applyFont="1" applyBorder="1" applyAlignment="1">
      <alignment horizontal="left" vertical="center"/>
    </xf>
    <xf numFmtId="0" fontId="29" fillId="0" borderId="2" xfId="0" applyFont="1" applyBorder="1" applyAlignment="1">
      <alignment vertical="center"/>
    </xf>
    <xf numFmtId="0" fontId="1" fillId="4" borderId="9" xfId="0" applyFont="1" applyFill="1" applyBorder="1" applyAlignment="1">
      <alignment horizontal="left" vertical="center"/>
    </xf>
    <xf numFmtId="0" fontId="0" fillId="4" borderId="10" xfId="0" applyFill="1" applyBorder="1" applyAlignment="1">
      <alignment horizontal="left" vertical="center"/>
    </xf>
    <xf numFmtId="0" fontId="0" fillId="4" borderId="11" xfId="0" applyFill="1" applyBorder="1" applyAlignment="1">
      <alignment horizontal="left" vertical="center"/>
    </xf>
    <xf numFmtId="0" fontId="1" fillId="4" borderId="10" xfId="0" applyFont="1" applyFill="1" applyBorder="1" applyAlignment="1">
      <alignment horizontal="left" vertical="center"/>
    </xf>
    <xf numFmtId="0" fontId="0" fillId="4" borderId="10" xfId="0" applyFill="1" applyBorder="1" applyAlignment="1">
      <alignment vertical="center"/>
    </xf>
    <xf numFmtId="0" fontId="16" fillId="4" borderId="10" xfId="0" applyFont="1" applyFill="1" applyBorder="1" applyAlignment="1">
      <alignment horizontal="center" vertical="center"/>
    </xf>
    <xf numFmtId="0" fontId="0" fillId="4" borderId="11" xfId="0" applyFill="1" applyBorder="1" applyAlignment="1">
      <alignment vertical="center"/>
    </xf>
    <xf numFmtId="0" fontId="1" fillId="4" borderId="11" xfId="0" applyFont="1" applyFill="1" applyBorder="1" applyAlignment="1">
      <alignment horizontal="left" vertical="center"/>
    </xf>
    <xf numFmtId="0" fontId="0" fillId="4" borderId="10" xfId="0" quotePrefix="1" applyFill="1" applyBorder="1" applyAlignment="1">
      <alignment horizontal="left" vertical="center"/>
    </xf>
    <xf numFmtId="0" fontId="0" fillId="4" borderId="12" xfId="0" applyFill="1" applyBorder="1" applyAlignment="1">
      <alignment horizontal="left" vertical="center"/>
    </xf>
    <xf numFmtId="0" fontId="1" fillId="4" borderId="13" xfId="0" applyFont="1" applyFill="1" applyBorder="1" applyAlignment="1">
      <alignment horizontal="left" vertical="center"/>
    </xf>
    <xf numFmtId="0" fontId="0" fillId="4" borderId="14" xfId="0" applyFill="1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1" fillId="0" borderId="17" xfId="0" applyFont="1" applyBorder="1" applyAlignment="1">
      <alignment horizontal="left"/>
    </xf>
    <xf numFmtId="0" fontId="0" fillId="0" borderId="18" xfId="0" applyBorder="1" applyAlignment="1">
      <alignment vertical="center"/>
    </xf>
    <xf numFmtId="0" fontId="14" fillId="0" borderId="1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0" fillId="0" borderId="16" xfId="0" applyBorder="1" applyAlignment="1">
      <alignment vertical="center"/>
    </xf>
    <xf numFmtId="0" fontId="0" fillId="0" borderId="15" xfId="0" applyBorder="1" applyAlignment="1">
      <alignment vertical="center"/>
    </xf>
    <xf numFmtId="0" fontId="1" fillId="0" borderId="17" xfId="0" applyFont="1" applyBorder="1" applyAlignment="1">
      <alignment horizontal="left" vertical="center"/>
    </xf>
    <xf numFmtId="0" fontId="1" fillId="0" borderId="18" xfId="0" applyFont="1" applyBorder="1" applyAlignment="1">
      <alignment horizontal="left" vertical="center"/>
    </xf>
    <xf numFmtId="0" fontId="30" fillId="4" borderId="15" xfId="0" applyFont="1" applyFill="1" applyBorder="1" applyAlignment="1">
      <alignment vertical="center"/>
    </xf>
    <xf numFmtId="0" fontId="29" fillId="0" borderId="15" xfId="0" applyFont="1" applyBorder="1" applyAlignment="1">
      <alignment vertical="center"/>
    </xf>
    <xf numFmtId="0" fontId="29" fillId="0" borderId="13" xfId="0" applyFont="1" applyBorder="1" applyAlignment="1">
      <alignment horizontal="left" vertical="center"/>
    </xf>
    <xf numFmtId="0" fontId="5" fillId="0" borderId="16" xfId="0" applyFont="1" applyBorder="1" applyAlignment="1">
      <alignment horizontal="center" vertical="center"/>
    </xf>
    <xf numFmtId="0" fontId="29" fillId="0" borderId="13" xfId="0" applyFont="1" applyBorder="1" applyAlignment="1">
      <alignment vertical="center"/>
    </xf>
    <xf numFmtId="0" fontId="28" fillId="0" borderId="16" xfId="0" applyFont="1" applyBorder="1" applyAlignment="1">
      <alignment horizontal="center" vertical="center"/>
    </xf>
    <xf numFmtId="0" fontId="29" fillId="0" borderId="16" xfId="0" applyFont="1" applyBorder="1" applyAlignment="1">
      <alignment vertical="center"/>
    </xf>
    <xf numFmtId="0" fontId="30" fillId="0" borderId="18" xfId="0" applyFont="1" applyBorder="1" applyAlignment="1">
      <alignment horizontal="center" vertical="center"/>
    </xf>
    <xf numFmtId="164" fontId="29" fillId="0" borderId="16" xfId="1" applyNumberFormat="1" applyFont="1" applyBorder="1" applyAlignment="1">
      <alignment horizontal="center" vertical="center"/>
    </xf>
    <xf numFmtId="0" fontId="0" fillId="0" borderId="13" xfId="0" applyBorder="1" applyAlignment="1">
      <alignment vertical="center"/>
    </xf>
    <xf numFmtId="0" fontId="0" fillId="0" borderId="15" xfId="0" applyBorder="1" applyAlignment="1">
      <alignment horizontal="left"/>
    </xf>
    <xf numFmtId="0" fontId="1" fillId="0" borderId="15" xfId="0" applyFont="1" applyBorder="1" applyAlignment="1">
      <alignment vertical="center"/>
    </xf>
    <xf numFmtId="0" fontId="1" fillId="0" borderId="17" xfId="0" applyFont="1" applyBorder="1" applyAlignment="1">
      <alignment vertical="center"/>
    </xf>
    <xf numFmtId="0" fontId="1" fillId="0" borderId="20" xfId="0" applyFont="1" applyBorder="1" applyAlignment="1">
      <alignment vertical="center"/>
    </xf>
    <xf numFmtId="0" fontId="0" fillId="0" borderId="21" xfId="0" applyBorder="1" applyAlignment="1">
      <alignment horizontal="center" vertical="center"/>
    </xf>
    <xf numFmtId="0" fontId="4" fillId="2" borderId="21" xfId="0" applyFont="1" applyFill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22" xfId="0" applyBorder="1" applyAlignment="1">
      <alignment vertical="center"/>
    </xf>
    <xf numFmtId="0" fontId="0" fillId="7" borderId="15" xfId="0" applyFill="1" applyBorder="1" applyAlignment="1">
      <alignment vertical="center"/>
    </xf>
    <xf numFmtId="0" fontId="1" fillId="0" borderId="15" xfId="0" applyFont="1" applyBorder="1" applyAlignment="1">
      <alignment horizontal="left"/>
    </xf>
    <xf numFmtId="0" fontId="7" fillId="0" borderId="15" xfId="0" applyFont="1" applyBorder="1" applyAlignment="1">
      <alignment horizontal="right" vertical="center"/>
    </xf>
    <xf numFmtId="0" fontId="8" fillId="0" borderId="16" xfId="0" applyFont="1" applyBorder="1" applyAlignment="1">
      <alignment horizontal="left" vertical="center"/>
    </xf>
    <xf numFmtId="0" fontId="30" fillId="0" borderId="18" xfId="0" applyFont="1" applyBorder="1" applyAlignment="1">
      <alignment horizontal="left" vertical="center"/>
    </xf>
    <xf numFmtId="0" fontId="29" fillId="0" borderId="16" xfId="0" applyFont="1" applyBorder="1" applyAlignment="1">
      <alignment horizontal="left" vertical="center"/>
    </xf>
    <xf numFmtId="0" fontId="31" fillId="0" borderId="16" xfId="0" applyFont="1" applyBorder="1" applyAlignment="1">
      <alignment horizontal="center" vertical="center"/>
    </xf>
    <xf numFmtId="0" fontId="13" fillId="0" borderId="2" xfId="0" applyFont="1" applyBorder="1" applyAlignment="1">
      <alignment horizontal="left" vertical="center"/>
    </xf>
    <xf numFmtId="0" fontId="35" fillId="0" borderId="13" xfId="0" applyFont="1" applyBorder="1" applyAlignment="1">
      <alignment horizontal="left" vertical="center"/>
    </xf>
    <xf numFmtId="0" fontId="35" fillId="0" borderId="15" xfId="0" applyFont="1" applyBorder="1" applyAlignment="1">
      <alignment vertical="center"/>
    </xf>
    <xf numFmtId="0" fontId="35" fillId="0" borderId="13" xfId="0" applyFont="1" applyBorder="1" applyAlignment="1">
      <alignment vertical="center"/>
    </xf>
    <xf numFmtId="0" fontId="11" fillId="0" borderId="13" xfId="0" applyFont="1" applyBorder="1" applyAlignment="1">
      <alignment vertical="center"/>
    </xf>
    <xf numFmtId="0" fontId="20" fillId="5" borderId="0" xfId="0" applyFont="1" applyFill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11" fillId="0" borderId="0" xfId="0" applyFont="1" applyAlignment="1">
      <alignment horizontal="left"/>
    </xf>
    <xf numFmtId="0" fontId="20" fillId="13" borderId="0" xfId="0" applyFont="1" applyFill="1"/>
    <xf numFmtId="0" fontId="20" fillId="13" borderId="0" xfId="0" applyFont="1" applyFill="1" applyAlignment="1">
      <alignment horizontal="left"/>
    </xf>
    <xf numFmtId="0" fontId="20" fillId="12" borderId="0" xfId="0" applyFont="1" applyFill="1" applyAlignment="1">
      <alignment horizontal="left" vertical="center"/>
    </xf>
    <xf numFmtId="0" fontId="20" fillId="12" borderId="0" xfId="0" applyFont="1" applyFill="1" applyAlignment="1">
      <alignment vertical="center"/>
    </xf>
    <xf numFmtId="0" fontId="20" fillId="12" borderId="0" xfId="0" applyFont="1" applyFill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11" fillId="8" borderId="0" xfId="0" applyFont="1" applyFill="1" applyAlignment="1">
      <alignment horizontal="left" vertical="center"/>
    </xf>
    <xf numFmtId="0" fontId="0" fillId="8" borderId="0" xfId="0" applyFill="1" applyAlignment="1">
      <alignment vertical="center"/>
    </xf>
    <xf numFmtId="0" fontId="25" fillId="8" borderId="0" xfId="0" applyFont="1" applyFill="1" applyAlignment="1">
      <alignment horizontal="center" vertical="center"/>
    </xf>
    <xf numFmtId="0" fontId="11" fillId="11" borderId="0" xfId="0" applyFont="1" applyFill="1" applyAlignment="1">
      <alignment horizontal="left"/>
    </xf>
    <xf numFmtId="0" fontId="0" fillId="11" borderId="0" xfId="0" applyFill="1"/>
    <xf numFmtId="0" fontId="11" fillId="0" borderId="0" xfId="0" applyFont="1"/>
    <xf numFmtId="0" fontId="38" fillId="0" borderId="0" xfId="0" applyFont="1" applyAlignment="1">
      <alignment horizontal="left" vertical="center"/>
    </xf>
    <xf numFmtId="0" fontId="22" fillId="0" borderId="0" xfId="0" quotePrefix="1" applyFont="1" applyAlignment="1">
      <alignment horizontal="left" vertical="center"/>
    </xf>
    <xf numFmtId="0" fontId="26" fillId="0" borderId="0" xfId="0" applyFont="1" applyAlignment="1">
      <alignment horizontal="right" vertical="center"/>
    </xf>
    <xf numFmtId="0" fontId="0" fillId="0" borderId="16" xfId="0" applyBorder="1" applyAlignment="1">
      <alignment horizontal="right" vertical="center"/>
    </xf>
    <xf numFmtId="0" fontId="0" fillId="4" borderId="0" xfId="0" applyFill="1" applyAlignment="1">
      <alignment vertical="center"/>
    </xf>
    <xf numFmtId="0" fontId="1" fillId="4" borderId="0" xfId="0" applyFont="1" applyFill="1" applyAlignment="1">
      <alignment horizontal="left" vertical="center"/>
    </xf>
    <xf numFmtId="0" fontId="0" fillId="4" borderId="0" xfId="0" applyFill="1" applyAlignment="1">
      <alignment horizontal="left" vertical="center"/>
    </xf>
    <xf numFmtId="0" fontId="40" fillId="0" borderId="0" xfId="0" applyFont="1" applyAlignment="1">
      <alignment horizontal="left" vertical="center"/>
    </xf>
    <xf numFmtId="0" fontId="7" fillId="0" borderId="0" xfId="0" applyFont="1" applyAlignment="1">
      <alignment horizontal="right" vertical="center"/>
    </xf>
    <xf numFmtId="0" fontId="40" fillId="0" borderId="0" xfId="0" applyFont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0" fillId="0" borderId="0" xfId="0" applyAlignment="1">
      <alignment horizontal="right" vertical="center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5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9" fillId="4" borderId="0" xfId="0" applyFont="1" applyFill="1" applyAlignment="1">
      <alignment horizontal="left" vertical="center"/>
    </xf>
    <xf numFmtId="0" fontId="30" fillId="4" borderId="0" xfId="0" applyFont="1" applyFill="1" applyAlignment="1">
      <alignment horizontal="left" vertical="center"/>
    </xf>
    <xf numFmtId="0" fontId="0" fillId="3" borderId="0" xfId="0" applyFill="1" applyAlignment="1">
      <alignment horizontal="center" vertical="center"/>
    </xf>
    <xf numFmtId="0" fontId="32" fillId="0" borderId="0" xfId="0" applyFont="1" applyAlignment="1">
      <alignment vertical="center"/>
    </xf>
    <xf numFmtId="0" fontId="31" fillId="0" borderId="0" xfId="0" applyFont="1" applyAlignment="1">
      <alignment horizontal="right" vertical="center"/>
    </xf>
    <xf numFmtId="0" fontId="30" fillId="0" borderId="0" xfId="0" applyFont="1" applyAlignment="1">
      <alignment horizontal="center" vertical="center"/>
    </xf>
    <xf numFmtId="0" fontId="34" fillId="0" borderId="0" xfId="0" applyFont="1" applyAlignment="1">
      <alignment horizontal="left" vertical="center"/>
    </xf>
    <xf numFmtId="0" fontId="33" fillId="0" borderId="0" xfId="0" applyFont="1"/>
    <xf numFmtId="0" fontId="33" fillId="0" borderId="0" xfId="0" applyFont="1" applyAlignment="1">
      <alignment vertical="center"/>
    </xf>
    <xf numFmtId="0" fontId="31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21" xfId="0" applyBorder="1" applyAlignment="1">
      <alignment vertical="center"/>
    </xf>
    <xf numFmtId="0" fontId="19" fillId="5" borderId="0" xfId="0" applyFont="1" applyFill="1" applyAlignment="1">
      <alignment vertical="center"/>
    </xf>
    <xf numFmtId="0" fontId="0" fillId="6" borderId="0" xfId="0" applyFill="1" applyAlignment="1">
      <alignment vertical="center"/>
    </xf>
    <xf numFmtId="0" fontId="13" fillId="6" borderId="0" xfId="0" applyFont="1" applyFill="1" applyAlignment="1">
      <alignment vertical="center"/>
    </xf>
    <xf numFmtId="0" fontId="0" fillId="0" borderId="16" xfId="0" applyBorder="1"/>
    <xf numFmtId="0" fontId="24" fillId="10" borderId="0" xfId="0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1" fillId="9" borderId="0" xfId="0" applyFont="1" applyFill="1" applyAlignment="1">
      <alignment horizontal="center" vertical="center"/>
    </xf>
    <xf numFmtId="0" fontId="20" fillId="5" borderId="0" xfId="0" applyFont="1" applyFill="1" applyAlignment="1">
      <alignment vertical="center"/>
    </xf>
    <xf numFmtId="0" fontId="12" fillId="6" borderId="0" xfId="0" applyFont="1" applyFill="1" applyAlignment="1">
      <alignment horizontal="left" vertical="center"/>
    </xf>
    <xf numFmtId="0" fontId="11" fillId="6" borderId="0" xfId="0" applyFont="1" applyFill="1" applyAlignment="1">
      <alignment horizontal="left" vertical="center"/>
    </xf>
    <xf numFmtId="0" fontId="11" fillId="0" borderId="1" xfId="0" applyFont="1" applyBorder="1"/>
    <xf numFmtId="0" fontId="0" fillId="0" borderId="1" xfId="0" applyBorder="1" applyAlignment="1">
      <alignment horizontal="center"/>
    </xf>
    <xf numFmtId="0" fontId="11" fillId="0" borderId="2" xfId="0" applyFont="1" applyBorder="1" applyAlignment="1">
      <alignment horizontal="left"/>
    </xf>
    <xf numFmtId="0" fontId="0" fillId="0" borderId="2" xfId="0" applyBorder="1"/>
    <xf numFmtId="0" fontId="0" fillId="0" borderId="2" xfId="0" applyBorder="1" applyAlignment="1">
      <alignment horizontal="center"/>
    </xf>
    <xf numFmtId="0" fontId="4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9" fillId="0" borderId="0" xfId="0" quotePrefix="1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9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0" fontId="34" fillId="0" borderId="0" xfId="0" applyFont="1" applyAlignment="1">
      <alignment vertical="center"/>
    </xf>
    <xf numFmtId="0" fontId="18" fillId="0" borderId="0" xfId="0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0" fontId="24" fillId="0" borderId="0" xfId="0" applyFont="1" applyAlignment="1">
      <alignment horizontal="left" vertical="center" wrapText="1"/>
    </xf>
    <xf numFmtId="0" fontId="44" fillId="0" borderId="0" xfId="0" applyFont="1" applyAlignment="1">
      <alignment horizontal="center" vertical="center" wrapText="1"/>
    </xf>
    <xf numFmtId="0" fontId="43" fillId="15" borderId="0" xfId="0" applyFont="1" applyFill="1" applyAlignment="1">
      <alignment horizontal="left" vertical="center" wrapText="1"/>
    </xf>
    <xf numFmtId="0" fontId="19" fillId="15" borderId="0" xfId="0" applyFont="1" applyFill="1" applyAlignment="1">
      <alignment horizontal="left" vertical="center" wrapText="1"/>
    </xf>
    <xf numFmtId="0" fontId="19" fillId="15" borderId="0" xfId="0" applyFont="1" applyFill="1" applyAlignment="1">
      <alignment horizontal="center" vertical="center" wrapText="1"/>
    </xf>
    <xf numFmtId="0" fontId="11" fillId="0" borderId="19" xfId="0" applyFont="1" applyBorder="1" applyAlignment="1">
      <alignment horizontal="left" vertical="top" wrapText="1"/>
    </xf>
    <xf numFmtId="0" fontId="11" fillId="0" borderId="4" xfId="0" applyFont="1" applyBorder="1" applyAlignment="1">
      <alignment horizontal="left" vertical="top" wrapText="1"/>
    </xf>
    <xf numFmtId="0" fontId="11" fillId="0" borderId="15" xfId="0" applyFont="1" applyBorder="1" applyAlignment="1">
      <alignment horizontal="left" vertical="top" wrapText="1"/>
    </xf>
    <xf numFmtId="0" fontId="11" fillId="0" borderId="0" xfId="0" applyFont="1" applyAlignment="1">
      <alignment horizontal="left" vertical="top" wrapText="1"/>
    </xf>
    <xf numFmtId="0" fontId="0" fillId="0" borderId="0" xfId="0" quotePrefix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21" xfId="0" applyFont="1" applyBorder="1" applyAlignment="1">
      <alignment horizontal="center" vertical="center"/>
    </xf>
    <xf numFmtId="0" fontId="29" fillId="0" borderId="0" xfId="0" applyFont="1" applyAlignment="1">
      <alignment horizontal="left" vertical="center"/>
    </xf>
    <xf numFmtId="0" fontId="29" fillId="0" borderId="16" xfId="0" applyFont="1" applyBorder="1" applyAlignment="1">
      <alignment horizontal="left" vertical="center"/>
    </xf>
    <xf numFmtId="0" fontId="20" fillId="5" borderId="0" xfId="0" applyFont="1" applyFill="1" applyAlignment="1">
      <alignment horizontal="center" vertical="center"/>
    </xf>
    <xf numFmtId="0" fontId="20" fillId="5" borderId="16" xfId="0" applyFont="1" applyFill="1" applyBorder="1" applyAlignment="1">
      <alignment horizontal="center" vertical="center"/>
    </xf>
    <xf numFmtId="0" fontId="36" fillId="9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37" fillId="10" borderId="0" xfId="0" applyFont="1" applyFill="1" applyAlignment="1">
      <alignment horizontal="center" vertical="center"/>
    </xf>
    <xf numFmtId="0" fontId="23" fillId="10" borderId="0" xfId="0" applyFont="1" applyFill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42" fillId="14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left" vertical="center" wrapText="1"/>
    </xf>
    <xf numFmtId="0" fontId="21" fillId="15" borderId="0" xfId="0" applyFont="1" applyFill="1" applyAlignment="1">
      <alignment horizontal="center" vertical="center" wrapText="1"/>
    </xf>
    <xf numFmtId="0" fontId="36" fillId="14" borderId="0" xfId="0" applyFont="1" applyFill="1" applyAlignment="1">
      <alignment horizontal="left" vertical="center"/>
    </xf>
    <xf numFmtId="0" fontId="36" fillId="14" borderId="0" xfId="0" applyFont="1" applyFill="1" applyAlignment="1">
      <alignment horizontal="left" vertical="center" wrapText="1"/>
    </xf>
    <xf numFmtId="0" fontId="36" fillId="14" borderId="0" xfId="0" applyFont="1" applyFill="1" applyAlignment="1">
      <alignment horizontal="right" vertical="center"/>
    </xf>
  </cellXfs>
  <cellStyles count="3">
    <cellStyle name="Migliaia" xfId="1" builtinId="3"/>
    <cellStyle name="Migliaia 2" xfId="2" xr:uid="{DF04117C-163E-4146-A757-6E01626FAE5C}"/>
    <cellStyle name="Normale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left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CFC2B8A-D537-42C2-9576-BDC96890C46F}" name="Tabella1" displayName="Tabella1" ref="A1:E40" totalsRowShown="0" headerRowDxfId="3" dataDxfId="2">
  <tableColumns count="5">
    <tableColumn id="1" xr3:uid="{BE96BCF5-334D-4F20-8722-3145ABDC81EA}" name="Oggetto" dataDxfId="6"/>
    <tableColumn id="2" xr3:uid="{23DBEE6D-E19E-482F-A20A-3F3284C9D84B}" name="Qt." dataDxfId="5"/>
    <tableColumn id="3" xr3:uid="{CE44C6FC-0DBC-4316-AC79-C083711A35A2}" name="Costo" dataDxfId="4"/>
    <tableColumn id="4" xr3:uid="{13F2738A-AAED-4162-A6FC-D1A5B56EBD56}" name="Slot" dataDxfId="1"/>
    <tableColumn id="5" xr3:uid="{C208413F-8AA4-49BE-A972-17EB9781744E}" name="Note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E096D-79DA-41F6-8B7D-BDB9F86329A6}">
  <dimension ref="A1:AA40"/>
  <sheetViews>
    <sheetView topLeftCell="A24" zoomScale="120" zoomScaleNormal="120" workbookViewId="0">
      <selection activeCell="J46" sqref="J46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44" t="s">
        <v>0</v>
      </c>
      <c r="B1" s="45" t="s">
        <v>195</v>
      </c>
      <c r="C1" s="45"/>
      <c r="D1" s="46"/>
      <c r="E1" s="47"/>
      <c r="F1" s="48"/>
      <c r="G1" s="49" t="s">
        <v>165</v>
      </c>
      <c r="H1" s="45"/>
      <c r="I1" s="48"/>
      <c r="J1" s="50"/>
      <c r="K1" s="51" t="s">
        <v>34</v>
      </c>
      <c r="L1" s="46"/>
      <c r="M1" s="46"/>
      <c r="N1" s="52" t="s">
        <v>95</v>
      </c>
      <c r="O1" s="45"/>
      <c r="P1" s="53"/>
    </row>
    <row r="2" spans="1:16" ht="20.399999999999999" customHeight="1" x14ac:dyDescent="0.3">
      <c r="A2" s="54" t="s">
        <v>94</v>
      </c>
      <c r="B2" s="35" t="s">
        <v>196</v>
      </c>
      <c r="C2" s="35"/>
      <c r="D2" s="117"/>
      <c r="E2" s="36" t="s">
        <v>33</v>
      </c>
      <c r="F2" s="37"/>
      <c r="G2" s="37" t="s">
        <v>196</v>
      </c>
      <c r="H2" s="37"/>
      <c r="I2" s="38" t="s">
        <v>128</v>
      </c>
      <c r="J2" s="117"/>
      <c r="K2" s="118" t="s">
        <v>1</v>
      </c>
      <c r="L2" s="119"/>
      <c r="M2" s="119"/>
      <c r="N2" s="35" t="s">
        <v>50</v>
      </c>
      <c r="O2" s="35"/>
      <c r="P2" s="55"/>
    </row>
    <row r="3" spans="1:16" ht="9.6" customHeight="1" x14ac:dyDescent="0.3">
      <c r="A3" s="56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57"/>
    </row>
    <row r="4" spans="1:16" ht="18.600000000000001" customHeight="1" x14ac:dyDescent="0.3">
      <c r="A4" s="87" t="s">
        <v>8</v>
      </c>
      <c r="B4" s="120">
        <v>3</v>
      </c>
      <c r="C4" s="1"/>
      <c r="E4" s="121" t="s">
        <v>46</v>
      </c>
      <c r="F4" s="122">
        <v>20</v>
      </c>
      <c r="G4" s="123" t="s">
        <v>63</v>
      </c>
      <c r="H4" s="1"/>
      <c r="I4" s="1"/>
      <c r="J4" s="124"/>
      <c r="L4" s="125" t="s">
        <v>93</v>
      </c>
      <c r="M4" s="122">
        <v>2</v>
      </c>
      <c r="N4" s="1"/>
      <c r="O4" s="121" t="s">
        <v>9</v>
      </c>
      <c r="P4" s="88">
        <v>25</v>
      </c>
    </row>
    <row r="5" spans="1:16" ht="19.8" customHeight="1" x14ac:dyDescent="0.3">
      <c r="A5" s="58" t="s">
        <v>29</v>
      </c>
      <c r="B5" s="32"/>
      <c r="J5" s="2" t="s">
        <v>92</v>
      </c>
      <c r="M5" s="32" t="s">
        <v>10</v>
      </c>
      <c r="N5" s="31"/>
      <c r="O5" s="31"/>
      <c r="P5" s="59"/>
    </row>
    <row r="6" spans="1:16" ht="32.4" customHeight="1" x14ac:dyDescent="0.3">
      <c r="A6" s="60">
        <v>14</v>
      </c>
      <c r="B6" s="126" t="s">
        <v>2</v>
      </c>
      <c r="C6" s="184" t="s">
        <v>169</v>
      </c>
      <c r="D6" s="184"/>
      <c r="E6" s="184"/>
      <c r="F6" s="184"/>
      <c r="G6" s="184"/>
      <c r="H6" s="184"/>
      <c r="I6" s="184"/>
      <c r="J6" s="127">
        <v>1</v>
      </c>
      <c r="K6" s="127"/>
      <c r="M6" s="185" t="s">
        <v>51</v>
      </c>
      <c r="N6" s="185"/>
      <c r="O6" s="185"/>
      <c r="P6" s="61">
        <v>6</v>
      </c>
    </row>
    <row r="7" spans="1:16" ht="32.4" customHeight="1" x14ac:dyDescent="0.3">
      <c r="A7" s="60">
        <v>14</v>
      </c>
      <c r="B7" s="126" t="s">
        <v>3</v>
      </c>
      <c r="C7" s="184" t="s">
        <v>116</v>
      </c>
      <c r="D7" s="184"/>
      <c r="E7" s="184"/>
      <c r="F7" s="184"/>
      <c r="G7" s="184"/>
      <c r="H7" s="184"/>
      <c r="I7" s="184"/>
      <c r="J7" s="127">
        <v>1</v>
      </c>
      <c r="K7" s="127"/>
      <c r="M7" s="185" t="s">
        <v>11</v>
      </c>
      <c r="N7" s="185"/>
      <c r="O7" s="185"/>
      <c r="P7" s="61">
        <v>7</v>
      </c>
    </row>
    <row r="8" spans="1:16" ht="32.4" customHeight="1" x14ac:dyDescent="0.3">
      <c r="A8" s="60">
        <v>9</v>
      </c>
      <c r="B8" s="126" t="s">
        <v>4</v>
      </c>
      <c r="C8" s="184" t="s">
        <v>87</v>
      </c>
      <c r="D8" s="184"/>
      <c r="E8" s="184"/>
      <c r="F8" s="184"/>
      <c r="G8" s="184"/>
      <c r="H8" s="184"/>
      <c r="I8" s="184"/>
      <c r="J8" s="127">
        <v>0</v>
      </c>
      <c r="K8" s="127"/>
      <c r="M8" s="185" t="s">
        <v>14</v>
      </c>
      <c r="N8" s="185"/>
      <c r="O8" s="185"/>
      <c r="P8" s="61">
        <v>8</v>
      </c>
    </row>
    <row r="9" spans="1:16" ht="32.4" customHeight="1" x14ac:dyDescent="0.3">
      <c r="A9" s="60">
        <v>13</v>
      </c>
      <c r="B9" s="126" t="s">
        <v>5</v>
      </c>
      <c r="C9" s="184" t="s">
        <v>131</v>
      </c>
      <c r="D9" s="184"/>
      <c r="E9" s="184"/>
      <c r="F9" s="184"/>
      <c r="G9" s="184"/>
      <c r="H9" s="184"/>
      <c r="I9" s="184"/>
      <c r="J9" s="127">
        <v>1</v>
      </c>
      <c r="K9" s="127"/>
      <c r="M9" s="185" t="s">
        <v>12</v>
      </c>
      <c r="N9" s="185"/>
      <c r="O9" s="185"/>
      <c r="P9" s="61">
        <v>10</v>
      </c>
    </row>
    <row r="10" spans="1:16" ht="32.4" customHeight="1" x14ac:dyDescent="0.3">
      <c r="A10" s="60">
        <v>12</v>
      </c>
      <c r="B10" s="126" t="s">
        <v>6</v>
      </c>
      <c r="C10" s="184" t="s">
        <v>87</v>
      </c>
      <c r="D10" s="184"/>
      <c r="E10" s="184"/>
      <c r="F10" s="184"/>
      <c r="G10" s="184"/>
      <c r="H10" s="184"/>
      <c r="I10" s="184"/>
      <c r="J10" s="127">
        <v>0</v>
      </c>
      <c r="K10" s="127"/>
      <c r="M10" s="185" t="s">
        <v>13</v>
      </c>
      <c r="N10" s="185"/>
      <c r="O10" s="185"/>
      <c r="P10" s="61">
        <v>10</v>
      </c>
    </row>
    <row r="11" spans="1:16" ht="32.4" customHeight="1" x14ac:dyDescent="0.3">
      <c r="A11" s="60">
        <v>11</v>
      </c>
      <c r="B11" s="126" t="s">
        <v>7</v>
      </c>
      <c r="C11" s="184" t="s">
        <v>90</v>
      </c>
      <c r="D11" s="184"/>
      <c r="E11" s="184"/>
      <c r="F11" s="184"/>
      <c r="G11" s="184"/>
      <c r="H11" s="184"/>
      <c r="I11" s="184"/>
      <c r="J11" s="127">
        <v>0</v>
      </c>
      <c r="K11" s="127"/>
      <c r="P11" s="116" t="str">
        <f>'Cleric A'!P11</f>
        <v>TS: tiro ≥ valore = successo</v>
      </c>
    </row>
    <row r="12" spans="1:16" ht="8.4" customHeight="1" x14ac:dyDescent="0.3">
      <c r="A12" s="63"/>
      <c r="P12" s="62"/>
    </row>
    <row r="13" spans="1:16" s="3" customFormat="1" ht="15.6" customHeight="1" x14ac:dyDescent="0.3">
      <c r="A13" s="64" t="s">
        <v>16</v>
      </c>
      <c r="B13" s="29"/>
      <c r="C13" s="128"/>
      <c r="E13" s="29" t="s">
        <v>17</v>
      </c>
      <c r="F13" s="29"/>
      <c r="G13" s="29"/>
      <c r="H13" s="128"/>
      <c r="I13" s="129" t="s">
        <v>66</v>
      </c>
      <c r="J13" s="129" t="s">
        <v>67</v>
      </c>
      <c r="K13" s="129" t="s">
        <v>68</v>
      </c>
      <c r="N13" s="29" t="s">
        <v>56</v>
      </c>
      <c r="O13" s="30"/>
      <c r="P13" s="65"/>
    </row>
    <row r="14" spans="1:16" s="3" customFormat="1" ht="15.6" customHeight="1" x14ac:dyDescent="0.3">
      <c r="A14" s="180" t="s">
        <v>172</v>
      </c>
      <c r="B14" s="181"/>
      <c r="E14" s="128" t="s">
        <v>21</v>
      </c>
      <c r="F14" s="128"/>
      <c r="H14" s="99" t="s">
        <v>71</v>
      </c>
      <c r="I14" s="130">
        <v>20</v>
      </c>
      <c r="J14" s="1">
        <f>K14*1.5</f>
        <v>6</v>
      </c>
      <c r="K14" s="1">
        <f>I14/5</f>
        <v>4</v>
      </c>
      <c r="N14" s="3" t="s">
        <v>190</v>
      </c>
      <c r="P14" s="57"/>
    </row>
    <row r="15" spans="1:16" s="3" customFormat="1" ht="15.6" customHeight="1" x14ac:dyDescent="0.3">
      <c r="A15" s="182"/>
      <c r="B15" s="183"/>
      <c r="E15" s="131" t="s">
        <v>37</v>
      </c>
      <c r="F15" s="131"/>
      <c r="G15" s="132"/>
      <c r="H15" s="133" t="s">
        <v>72</v>
      </c>
      <c r="I15" s="134">
        <f>I14*3</f>
        <v>60</v>
      </c>
      <c r="J15" s="134">
        <f>K15*1.5</f>
        <v>18</v>
      </c>
      <c r="K15" s="134">
        <f t="shared" ref="K15:K18" si="0">I15/5</f>
        <v>12</v>
      </c>
      <c r="N15" s="3" t="s">
        <v>136</v>
      </c>
      <c r="P15" s="57"/>
    </row>
    <row r="16" spans="1:16" s="3" customFormat="1" ht="15.6" customHeight="1" x14ac:dyDescent="0.3">
      <c r="A16" s="182"/>
      <c r="B16" s="183"/>
      <c r="E16" s="128" t="s">
        <v>18</v>
      </c>
      <c r="F16" s="128"/>
      <c r="H16" s="99" t="s">
        <v>71</v>
      </c>
      <c r="I16" s="130">
        <f>I14*3</f>
        <v>60</v>
      </c>
      <c r="J16" s="1">
        <f>K16*1.5</f>
        <v>18</v>
      </c>
      <c r="K16" s="1">
        <f t="shared" si="0"/>
        <v>12</v>
      </c>
      <c r="N16" s="3" t="s">
        <v>198</v>
      </c>
      <c r="P16" s="57"/>
    </row>
    <row r="17" spans="1:16" s="3" customFormat="1" ht="15.6" customHeight="1" x14ac:dyDescent="0.3">
      <c r="A17" s="66" t="s">
        <v>207</v>
      </c>
      <c r="B17" s="135"/>
      <c r="E17" s="131" t="s">
        <v>35</v>
      </c>
      <c r="F17" s="131"/>
      <c r="G17" s="132"/>
      <c r="H17" s="133" t="s">
        <v>71</v>
      </c>
      <c r="I17" s="134">
        <f>I14/2</f>
        <v>10</v>
      </c>
      <c r="J17" s="134">
        <f>K17*1.5</f>
        <v>3</v>
      </c>
      <c r="K17" s="134">
        <f t="shared" si="0"/>
        <v>2</v>
      </c>
      <c r="N17" s="3" t="s">
        <v>60</v>
      </c>
      <c r="P17" s="57"/>
    </row>
    <row r="18" spans="1:16" s="3" customFormat="1" ht="15.6" customHeight="1" x14ac:dyDescent="0.3">
      <c r="A18" s="66" t="s">
        <v>96</v>
      </c>
      <c r="B18" s="136"/>
      <c r="E18" s="128" t="s">
        <v>36</v>
      </c>
      <c r="F18" s="128"/>
      <c r="H18" s="99" t="s">
        <v>71</v>
      </c>
      <c r="I18" s="130">
        <f>I14/2</f>
        <v>10</v>
      </c>
      <c r="J18" s="1">
        <f>K18*1.5</f>
        <v>3</v>
      </c>
      <c r="K18" s="1">
        <f t="shared" si="0"/>
        <v>2</v>
      </c>
      <c r="N18" s="3" t="s">
        <v>59</v>
      </c>
      <c r="P18" s="57"/>
    </row>
    <row r="19" spans="1:16" s="3" customFormat="1" ht="15.6" customHeight="1" x14ac:dyDescent="0.3">
      <c r="A19" s="67"/>
      <c r="B19" s="27"/>
      <c r="E19" s="131" t="s">
        <v>22</v>
      </c>
      <c r="F19" s="131"/>
      <c r="G19" s="132"/>
      <c r="H19" s="133" t="s">
        <v>73</v>
      </c>
      <c r="I19" s="137" t="s">
        <v>147</v>
      </c>
      <c r="J19" s="137" t="s">
        <v>69</v>
      </c>
      <c r="K19" s="137"/>
      <c r="N19" s="3" t="s">
        <v>197</v>
      </c>
      <c r="P19" s="57"/>
    </row>
    <row r="20" spans="1:16" s="3" customFormat="1" ht="15.6" customHeight="1" x14ac:dyDescent="0.3">
      <c r="A20" s="68" t="s">
        <v>241</v>
      </c>
      <c r="B20" s="42"/>
      <c r="N20" s="186" t="s">
        <v>179</v>
      </c>
      <c r="O20" s="186"/>
      <c r="P20" s="187"/>
    </row>
    <row r="21" spans="1:16" s="3" customFormat="1" ht="15.6" customHeight="1" x14ac:dyDescent="0.3">
      <c r="A21" s="67" t="s">
        <v>242</v>
      </c>
      <c r="B21" s="28"/>
      <c r="E21" s="138" t="str">
        <f>'Cleric A'!E21</f>
        <v>Carica, Ritirata difensiva, Difesa totale</v>
      </c>
      <c r="O21" s="169"/>
      <c r="P21" s="69"/>
    </row>
    <row r="22" spans="1:16" ht="15.6" customHeight="1" x14ac:dyDescent="0.3">
      <c r="A22" s="70" t="s">
        <v>243</v>
      </c>
      <c r="B22" s="43"/>
      <c r="E22" s="138" t="str">
        <f>'Cleric A'!E22</f>
        <v>Spinta, Disarmo, Parare (F), Colpo potente (F)</v>
      </c>
      <c r="N22" s="139"/>
      <c r="O22" s="139" t="s">
        <v>46</v>
      </c>
      <c r="P22" s="71">
        <v>8</v>
      </c>
    </row>
    <row r="23" spans="1:16" ht="15.6" customHeight="1" x14ac:dyDescent="0.3">
      <c r="A23" s="67" t="s">
        <v>244</v>
      </c>
      <c r="B23" s="28"/>
      <c r="E23" s="138" t="str">
        <f>'Cleric A'!E23</f>
        <v>Afferrrare, Liberarsi da presa, Azione Pronta</v>
      </c>
      <c r="M23" s="128"/>
      <c r="N23" s="140"/>
      <c r="O23" s="28"/>
      <c r="P23" s="72"/>
    </row>
    <row r="24" spans="1:16" ht="15.6" customHeight="1" x14ac:dyDescent="0.3">
      <c r="A24" s="70" t="s">
        <v>245</v>
      </c>
      <c r="B24" s="43"/>
      <c r="E24" s="138" t="str">
        <f>'Cleric A'!E24</f>
        <v xml:space="preserve">Attraversare alleati ©, Passare posizione © , </v>
      </c>
      <c r="M24" s="128"/>
      <c r="N24" s="41"/>
      <c r="O24" s="41" t="s">
        <v>236</v>
      </c>
      <c r="P24" s="73" t="s">
        <v>237</v>
      </c>
    </row>
    <row r="25" spans="1:16" ht="15.6" customHeight="1" x14ac:dyDescent="0.3">
      <c r="A25" s="67" t="s">
        <v>246</v>
      </c>
      <c r="B25" s="28"/>
      <c r="C25" s="170"/>
      <c r="E25" s="138" t="str">
        <f>'Cleric A'!E25</f>
        <v>Azione pronta, Preparare per carica</v>
      </c>
      <c r="N25" s="141" t="s">
        <v>42</v>
      </c>
      <c r="O25" s="28"/>
      <c r="P25" s="74"/>
    </row>
    <row r="26" spans="1:16" ht="15.6" customHeight="1" x14ac:dyDescent="0.3">
      <c r="A26" s="70" t="s">
        <v>79</v>
      </c>
      <c r="B26" s="43"/>
      <c r="C26" s="170"/>
      <c r="E26" s="138" t="str">
        <f>'Cleric A'!E26</f>
        <v>Prone: +2 TxC nemici, metà mov per alzarsi</v>
      </c>
      <c r="N26" s="141" t="s">
        <v>39</v>
      </c>
      <c r="O26" s="28"/>
      <c r="P26" s="74">
        <v>500</v>
      </c>
    </row>
    <row r="27" spans="1:16" ht="15.6" customHeight="1" x14ac:dyDescent="0.3">
      <c r="A27" s="75" t="s">
        <v>247</v>
      </c>
      <c r="B27" s="23"/>
      <c r="E27" s="138" t="str">
        <f>'Cleric A'!E27</f>
        <v>Copertura: Parziale -2 TxC | Quasi Totale -4 TxC</v>
      </c>
      <c r="N27" s="172" t="s">
        <v>43</v>
      </c>
      <c r="O27" s="28"/>
      <c r="P27" s="74"/>
    </row>
    <row r="28" spans="1:16" ht="15.6" customHeight="1" x14ac:dyDescent="0.3">
      <c r="A28" s="63"/>
      <c r="E28" s="138" t="str">
        <f>'Cleric A'!E28</f>
        <v>Tiro oltre 1* alleato: -2 TxC, 1 Colpito Alleato</v>
      </c>
      <c r="N28" s="172" t="s">
        <v>40</v>
      </c>
      <c r="O28" s="28"/>
      <c r="P28" s="74"/>
    </row>
    <row r="29" spans="1:16" ht="15.6" customHeight="1" x14ac:dyDescent="0.3">
      <c r="A29" s="75"/>
      <c r="B29" s="23"/>
      <c r="E29" s="138" t="str">
        <f>'Cleric A'!E29</f>
        <v>Distanza:   corta +1, lunga -1</v>
      </c>
      <c r="N29" s="144"/>
      <c r="O29" s="139" t="s">
        <v>46</v>
      </c>
      <c r="P29" s="71">
        <v>5</v>
      </c>
    </row>
    <row r="30" spans="1:16" x14ac:dyDescent="0.3">
      <c r="A30" s="63"/>
      <c r="E30" s="138" t="str">
        <f>'Cleric A'!E30</f>
        <v>Copertura vs area: Parz. +2 TS, Quasi tot. +4 TS</v>
      </c>
      <c r="P30" s="62"/>
    </row>
    <row r="31" spans="1:16" ht="15.6" customHeight="1" x14ac:dyDescent="0.3">
      <c r="A31" s="75"/>
      <c r="B31" s="23"/>
      <c r="E31" s="138"/>
      <c r="P31" s="62"/>
    </row>
    <row r="32" spans="1:16" ht="15.6" customHeight="1" x14ac:dyDescent="0.3">
      <c r="A32" s="76"/>
      <c r="B32" s="166"/>
      <c r="C32" s="170"/>
      <c r="E32" s="138"/>
      <c r="G32" s="130"/>
      <c r="I32" s="130"/>
      <c r="N32" s="29" t="s">
        <v>29</v>
      </c>
      <c r="O32" s="31"/>
      <c r="P32" s="59"/>
    </row>
    <row r="33" spans="1:27" ht="15.6" customHeight="1" x14ac:dyDescent="0.3">
      <c r="A33" s="77" t="s">
        <v>204</v>
      </c>
      <c r="B33" s="5"/>
      <c r="C33" s="170"/>
      <c r="N33" s="2" t="s">
        <v>54</v>
      </c>
      <c r="P33" s="62"/>
    </row>
    <row r="34" spans="1:27" ht="15.6" customHeight="1" x14ac:dyDescent="0.3">
      <c r="A34" s="77" t="s">
        <v>202</v>
      </c>
      <c r="B34" s="5"/>
      <c r="C34" s="170"/>
      <c r="N34" s="2" t="s">
        <v>205</v>
      </c>
      <c r="P34" s="62"/>
    </row>
    <row r="35" spans="1:27" x14ac:dyDescent="0.3">
      <c r="A35" s="77" t="s">
        <v>203</v>
      </c>
      <c r="B35" s="5"/>
      <c r="C35" s="170"/>
      <c r="N35" s="2" t="s">
        <v>55</v>
      </c>
      <c r="P35" s="62"/>
    </row>
    <row r="36" spans="1:27" x14ac:dyDescent="0.3">
      <c r="A36" s="63"/>
      <c r="L36" s="145" t="s">
        <v>206</v>
      </c>
      <c r="P36" s="62"/>
    </row>
    <row r="37" spans="1:27" ht="15.6" x14ac:dyDescent="0.3">
      <c r="A37" s="78" t="s">
        <v>15</v>
      </c>
      <c r="B37" s="26" t="s">
        <v>19</v>
      </c>
      <c r="C37" s="33" t="s">
        <v>20</v>
      </c>
      <c r="D37" s="4">
        <v>8</v>
      </c>
      <c r="E37" s="33">
        <f>D37-1</f>
        <v>7</v>
      </c>
      <c r="F37" s="4">
        <f t="shared" ref="F37:L37" si="1">E37-1</f>
        <v>6</v>
      </c>
      <c r="G37" s="33">
        <f t="shared" si="1"/>
        <v>5</v>
      </c>
      <c r="H37" s="4">
        <f t="shared" si="1"/>
        <v>4</v>
      </c>
      <c r="I37" s="33">
        <f t="shared" si="1"/>
        <v>3</v>
      </c>
      <c r="J37" s="4">
        <f t="shared" si="1"/>
        <v>2</v>
      </c>
      <c r="K37" s="33">
        <f t="shared" si="1"/>
        <v>1</v>
      </c>
      <c r="L37" s="4">
        <f t="shared" si="1"/>
        <v>0</v>
      </c>
      <c r="M37" s="188" t="s">
        <v>26</v>
      </c>
      <c r="N37" s="188"/>
      <c r="O37" s="29" t="s">
        <v>27</v>
      </c>
      <c r="P37" s="59"/>
    </row>
    <row r="38" spans="1:27" ht="18" x14ac:dyDescent="0.3">
      <c r="A38" s="77" t="s">
        <v>199</v>
      </c>
      <c r="B38" s="1" t="s">
        <v>23</v>
      </c>
      <c r="C38" s="146">
        <v>7</v>
      </c>
      <c r="D38" s="147">
        <f>C38+1</f>
        <v>8</v>
      </c>
      <c r="E38" s="146">
        <f t="shared" ref="E38:L38" si="2">D38+1</f>
        <v>9</v>
      </c>
      <c r="F38" s="147">
        <f t="shared" si="2"/>
        <v>10</v>
      </c>
      <c r="G38" s="146">
        <f t="shared" si="2"/>
        <v>11</v>
      </c>
      <c r="H38" s="147">
        <f t="shared" si="2"/>
        <v>12</v>
      </c>
      <c r="I38" s="146">
        <f t="shared" si="2"/>
        <v>13</v>
      </c>
      <c r="J38" s="147">
        <f t="shared" si="2"/>
        <v>14</v>
      </c>
      <c r="K38" s="146">
        <f t="shared" si="2"/>
        <v>15</v>
      </c>
      <c r="L38" s="147">
        <f t="shared" si="2"/>
        <v>16</v>
      </c>
      <c r="M38" s="189" t="s">
        <v>200</v>
      </c>
      <c r="N38" s="189"/>
      <c r="P38" s="62"/>
    </row>
    <row r="39" spans="1:27" ht="18" x14ac:dyDescent="0.3">
      <c r="A39" s="77" t="s">
        <v>24</v>
      </c>
      <c r="B39" s="1" t="s">
        <v>23</v>
      </c>
      <c r="C39" s="146">
        <v>7</v>
      </c>
      <c r="D39" s="147">
        <f t="shared" ref="D39:L40" si="3">C39+1</f>
        <v>8</v>
      </c>
      <c r="E39" s="146">
        <f t="shared" si="3"/>
        <v>9</v>
      </c>
      <c r="F39" s="147">
        <f t="shared" si="3"/>
        <v>10</v>
      </c>
      <c r="G39" s="146">
        <f t="shared" si="3"/>
        <v>11</v>
      </c>
      <c r="H39" s="147">
        <f t="shared" si="3"/>
        <v>12</v>
      </c>
      <c r="I39" s="146">
        <f t="shared" si="3"/>
        <v>13</v>
      </c>
      <c r="J39" s="147">
        <f t="shared" si="3"/>
        <v>14</v>
      </c>
      <c r="K39" s="146">
        <f t="shared" si="3"/>
        <v>15</v>
      </c>
      <c r="L39" s="147">
        <f t="shared" si="3"/>
        <v>16</v>
      </c>
      <c r="M39" s="190" t="s">
        <v>176</v>
      </c>
      <c r="N39" s="190"/>
      <c r="O39" s="3" t="s">
        <v>118</v>
      </c>
      <c r="P39" s="62"/>
      <c r="AA39"/>
    </row>
    <row r="40" spans="1:27" ht="18.600000000000001" thickBot="1" x14ac:dyDescent="0.35">
      <c r="A40" s="79" t="s">
        <v>53</v>
      </c>
      <c r="B40" s="80" t="s">
        <v>80</v>
      </c>
      <c r="C40" s="81">
        <v>6</v>
      </c>
      <c r="D40" s="82">
        <f t="shared" si="3"/>
        <v>7</v>
      </c>
      <c r="E40" s="81">
        <f t="shared" si="3"/>
        <v>8</v>
      </c>
      <c r="F40" s="82">
        <f t="shared" si="3"/>
        <v>9</v>
      </c>
      <c r="G40" s="81">
        <f t="shared" si="3"/>
        <v>10</v>
      </c>
      <c r="H40" s="82">
        <f t="shared" si="3"/>
        <v>11</v>
      </c>
      <c r="I40" s="81">
        <f t="shared" si="3"/>
        <v>12</v>
      </c>
      <c r="J40" s="82">
        <f t="shared" si="3"/>
        <v>13</v>
      </c>
      <c r="K40" s="81">
        <f t="shared" si="3"/>
        <v>14</v>
      </c>
      <c r="L40" s="82">
        <f t="shared" si="3"/>
        <v>15</v>
      </c>
      <c r="M40" s="191" t="s">
        <v>84</v>
      </c>
      <c r="N40" s="191"/>
      <c r="O40" s="83" t="s">
        <v>201</v>
      </c>
      <c r="P40" s="84"/>
    </row>
  </sheetData>
  <mergeCells count="17">
    <mergeCell ref="N20:P20"/>
    <mergeCell ref="M37:N37"/>
    <mergeCell ref="M38:N38"/>
    <mergeCell ref="M39:N39"/>
    <mergeCell ref="M40:N40"/>
    <mergeCell ref="C6:I6"/>
    <mergeCell ref="M6:O6"/>
    <mergeCell ref="C7:I7"/>
    <mergeCell ref="M7:O7"/>
    <mergeCell ref="C8:I8"/>
    <mergeCell ref="M8:O8"/>
    <mergeCell ref="A14:B16"/>
    <mergeCell ref="C9:I9"/>
    <mergeCell ref="M9:O9"/>
    <mergeCell ref="C10:I10"/>
    <mergeCell ref="M10:O10"/>
    <mergeCell ref="C11:I11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2BED5-6492-4A4B-BB83-28F0C7345C12}">
  <dimension ref="A1:AA40"/>
  <sheetViews>
    <sheetView zoomScale="120" zoomScaleNormal="120" workbookViewId="0">
      <selection activeCell="K45" sqref="K45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44" t="s">
        <v>0</v>
      </c>
      <c r="B1" s="45" t="s">
        <v>181</v>
      </c>
      <c r="C1" s="45"/>
      <c r="D1" s="46"/>
      <c r="E1" s="47"/>
      <c r="F1" s="48"/>
      <c r="G1" s="49" t="s">
        <v>191</v>
      </c>
      <c r="H1" s="45"/>
      <c r="I1" s="48"/>
      <c r="J1" s="50"/>
      <c r="K1" s="51" t="s">
        <v>34</v>
      </c>
      <c r="L1" s="46"/>
      <c r="M1" s="46"/>
      <c r="N1" s="52" t="s">
        <v>183</v>
      </c>
      <c r="O1" s="45"/>
      <c r="P1" s="53"/>
    </row>
    <row r="2" spans="1:16" ht="20.399999999999999" customHeight="1" x14ac:dyDescent="0.3">
      <c r="A2" s="54" t="s">
        <v>94</v>
      </c>
      <c r="B2" s="35" t="s">
        <v>182</v>
      </c>
      <c r="C2" s="35"/>
      <c r="D2" s="117"/>
      <c r="E2" s="36" t="s">
        <v>33</v>
      </c>
      <c r="F2" s="37"/>
      <c r="G2" s="37" t="s">
        <v>182</v>
      </c>
      <c r="H2" s="37"/>
      <c r="I2" s="38" t="s">
        <v>128</v>
      </c>
      <c r="J2" s="117"/>
      <c r="K2" s="118" t="s">
        <v>1</v>
      </c>
      <c r="L2" s="119"/>
      <c r="M2" s="119"/>
      <c r="N2" s="35" t="s">
        <v>50</v>
      </c>
      <c r="O2" s="35"/>
      <c r="P2" s="55"/>
    </row>
    <row r="3" spans="1:16" ht="9.6" customHeight="1" x14ac:dyDescent="0.3">
      <c r="A3" s="56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57"/>
    </row>
    <row r="4" spans="1:16" ht="18.600000000000001" customHeight="1" x14ac:dyDescent="0.3">
      <c r="A4" s="87" t="s">
        <v>8</v>
      </c>
      <c r="B4" s="120">
        <v>4</v>
      </c>
      <c r="C4" s="1"/>
      <c r="E4" s="121" t="s">
        <v>46</v>
      </c>
      <c r="F4" s="122">
        <v>24</v>
      </c>
      <c r="G4" s="123" t="s">
        <v>110</v>
      </c>
      <c r="H4" s="1"/>
      <c r="I4" s="1"/>
      <c r="J4" s="124"/>
      <c r="L4" s="125" t="s">
        <v>93</v>
      </c>
      <c r="M4" s="122">
        <v>0</v>
      </c>
      <c r="N4" s="1"/>
      <c r="O4" s="121" t="s">
        <v>9</v>
      </c>
      <c r="P4" s="88">
        <v>30</v>
      </c>
    </row>
    <row r="5" spans="1:16" ht="19.8" customHeight="1" x14ac:dyDescent="0.3">
      <c r="A5" s="58" t="s">
        <v>29</v>
      </c>
      <c r="B5" s="32"/>
      <c r="J5" s="2" t="s">
        <v>92</v>
      </c>
      <c r="M5" s="32" t="s">
        <v>10</v>
      </c>
      <c r="N5" s="31"/>
      <c r="O5" s="31"/>
      <c r="P5" s="59"/>
    </row>
    <row r="6" spans="1:16" ht="32.4" customHeight="1" x14ac:dyDescent="0.3">
      <c r="A6" s="60">
        <v>16</v>
      </c>
      <c r="B6" s="126" t="s">
        <v>2</v>
      </c>
      <c r="C6" s="184" t="s">
        <v>115</v>
      </c>
      <c r="D6" s="184"/>
      <c r="E6" s="184"/>
      <c r="F6" s="184"/>
      <c r="G6" s="184"/>
      <c r="H6" s="184"/>
      <c r="I6" s="184"/>
      <c r="J6" s="127">
        <v>2</v>
      </c>
      <c r="K6" s="127"/>
      <c r="M6" s="185" t="s">
        <v>51</v>
      </c>
      <c r="N6" s="185"/>
      <c r="O6" s="185"/>
      <c r="P6" s="61">
        <v>10</v>
      </c>
    </row>
    <row r="7" spans="1:16" ht="32.4" customHeight="1" x14ac:dyDescent="0.3">
      <c r="A7" s="60">
        <v>12</v>
      </c>
      <c r="B7" s="126" t="s">
        <v>3</v>
      </c>
      <c r="C7" s="184" t="s">
        <v>87</v>
      </c>
      <c r="D7" s="184"/>
      <c r="E7" s="184"/>
      <c r="F7" s="184"/>
      <c r="G7" s="184"/>
      <c r="H7" s="184"/>
      <c r="I7" s="184"/>
      <c r="J7" s="127">
        <v>0</v>
      </c>
      <c r="K7" s="127"/>
      <c r="M7" s="185" t="s">
        <v>11</v>
      </c>
      <c r="N7" s="185"/>
      <c r="O7" s="185"/>
      <c r="P7" s="61">
        <v>11</v>
      </c>
    </row>
    <row r="8" spans="1:16" ht="32.4" customHeight="1" x14ac:dyDescent="0.3">
      <c r="A8" s="60">
        <v>13</v>
      </c>
      <c r="B8" s="126" t="s">
        <v>4</v>
      </c>
      <c r="C8" s="184" t="s">
        <v>130</v>
      </c>
      <c r="D8" s="184"/>
      <c r="E8" s="184"/>
      <c r="F8" s="184"/>
      <c r="G8" s="184"/>
      <c r="H8" s="184"/>
      <c r="I8" s="184"/>
      <c r="J8" s="127">
        <v>1</v>
      </c>
      <c r="K8" s="127"/>
      <c r="M8" s="185" t="s">
        <v>14</v>
      </c>
      <c r="N8" s="185"/>
      <c r="O8" s="185"/>
      <c r="P8" s="61">
        <v>11</v>
      </c>
    </row>
    <row r="9" spans="1:16" ht="32.4" customHeight="1" x14ac:dyDescent="0.3">
      <c r="A9" s="60">
        <v>17</v>
      </c>
      <c r="B9" s="126" t="s">
        <v>5</v>
      </c>
      <c r="C9" s="184" t="s">
        <v>131</v>
      </c>
      <c r="D9" s="184"/>
      <c r="E9" s="184"/>
      <c r="F9" s="184"/>
      <c r="G9" s="184"/>
      <c r="H9" s="184"/>
      <c r="I9" s="184"/>
      <c r="J9" s="127">
        <v>2</v>
      </c>
      <c r="K9" s="127"/>
      <c r="M9" s="185" t="s">
        <v>12</v>
      </c>
      <c r="N9" s="185"/>
      <c r="O9" s="185"/>
      <c r="P9" s="61">
        <v>13</v>
      </c>
    </row>
    <row r="10" spans="1:16" ht="32.4" customHeight="1" x14ac:dyDescent="0.3">
      <c r="A10" s="60">
        <v>11</v>
      </c>
      <c r="B10" s="126" t="s">
        <v>6</v>
      </c>
      <c r="C10" s="184" t="s">
        <v>87</v>
      </c>
      <c r="D10" s="184"/>
      <c r="E10" s="184"/>
      <c r="F10" s="184"/>
      <c r="G10" s="184"/>
      <c r="H10" s="184"/>
      <c r="I10" s="184"/>
      <c r="J10" s="127">
        <v>0</v>
      </c>
      <c r="K10" s="127"/>
      <c r="M10" s="185" t="s">
        <v>13</v>
      </c>
      <c r="N10" s="185"/>
      <c r="O10" s="185"/>
      <c r="P10" s="61">
        <v>12</v>
      </c>
    </row>
    <row r="11" spans="1:16" ht="32.4" customHeight="1" x14ac:dyDescent="0.3">
      <c r="A11" s="60">
        <v>10</v>
      </c>
      <c r="B11" s="126" t="s">
        <v>7</v>
      </c>
      <c r="C11" s="184" t="s">
        <v>90</v>
      </c>
      <c r="D11" s="184"/>
      <c r="E11" s="184"/>
      <c r="F11" s="184"/>
      <c r="G11" s="184"/>
      <c r="H11" s="184"/>
      <c r="I11" s="184"/>
      <c r="J11" s="127">
        <v>0</v>
      </c>
      <c r="K11" s="127"/>
      <c r="P11" s="116" t="str">
        <f>'Cleric A'!P11</f>
        <v>TS: tiro ≥ valore = successo</v>
      </c>
    </row>
    <row r="12" spans="1:16" ht="8.4" customHeight="1" x14ac:dyDescent="0.3">
      <c r="A12" s="63"/>
      <c r="P12" s="62"/>
    </row>
    <row r="13" spans="1:16" s="3" customFormat="1" ht="15.6" customHeight="1" x14ac:dyDescent="0.3">
      <c r="A13" s="64" t="s">
        <v>16</v>
      </c>
      <c r="B13" s="29"/>
      <c r="C13" s="128"/>
      <c r="E13" s="29" t="s">
        <v>17</v>
      </c>
      <c r="F13" s="29"/>
      <c r="G13" s="29"/>
      <c r="H13" s="128"/>
      <c r="I13" s="129" t="s">
        <v>66</v>
      </c>
      <c r="J13" s="129" t="s">
        <v>67</v>
      </c>
      <c r="K13" s="129" t="s">
        <v>68</v>
      </c>
      <c r="N13" s="29" t="s">
        <v>56</v>
      </c>
      <c r="O13" s="30"/>
      <c r="P13" s="65"/>
    </row>
    <row r="14" spans="1:16" s="3" customFormat="1" ht="15.6" customHeight="1" x14ac:dyDescent="0.3">
      <c r="A14" s="180" t="s">
        <v>172</v>
      </c>
      <c r="B14" s="181"/>
      <c r="E14" s="128" t="s">
        <v>21</v>
      </c>
      <c r="F14" s="128"/>
      <c r="H14" s="99" t="s">
        <v>71</v>
      </c>
      <c r="I14" s="130">
        <v>30</v>
      </c>
      <c r="J14" s="1">
        <f>K14*1.5</f>
        <v>9</v>
      </c>
      <c r="K14" s="1">
        <f>I14/5</f>
        <v>6</v>
      </c>
      <c r="N14" s="3" t="s">
        <v>190</v>
      </c>
      <c r="P14" s="57"/>
    </row>
    <row r="15" spans="1:16" s="3" customFormat="1" ht="15.6" customHeight="1" x14ac:dyDescent="0.3">
      <c r="A15" s="182"/>
      <c r="B15" s="183"/>
      <c r="E15" s="131" t="s">
        <v>37</v>
      </c>
      <c r="F15" s="131"/>
      <c r="G15" s="132"/>
      <c r="H15" s="133" t="s">
        <v>72</v>
      </c>
      <c r="I15" s="134">
        <f>I14*3</f>
        <v>90</v>
      </c>
      <c r="J15" s="134">
        <f>K15*1.5</f>
        <v>27</v>
      </c>
      <c r="K15" s="134">
        <f t="shared" ref="K15:K18" si="0">I15/5</f>
        <v>18</v>
      </c>
      <c r="N15" s="3" t="s">
        <v>136</v>
      </c>
      <c r="P15" s="57"/>
    </row>
    <row r="16" spans="1:16" s="3" customFormat="1" ht="15.6" customHeight="1" x14ac:dyDescent="0.3">
      <c r="A16" s="182"/>
      <c r="B16" s="183"/>
      <c r="E16" s="128" t="s">
        <v>18</v>
      </c>
      <c r="F16" s="128"/>
      <c r="H16" s="99" t="s">
        <v>71</v>
      </c>
      <c r="I16" s="130">
        <f>I14*3</f>
        <v>90</v>
      </c>
      <c r="J16" s="1">
        <f>K16*1.5</f>
        <v>27</v>
      </c>
      <c r="K16" s="1">
        <f t="shared" si="0"/>
        <v>18</v>
      </c>
      <c r="N16" s="3" t="s">
        <v>154</v>
      </c>
      <c r="P16" s="57"/>
    </row>
    <row r="17" spans="1:16" s="3" customFormat="1" ht="15.6" customHeight="1" x14ac:dyDescent="0.3">
      <c r="A17" s="66" t="s">
        <v>207</v>
      </c>
      <c r="B17" s="135"/>
      <c r="E17" s="131" t="s">
        <v>35</v>
      </c>
      <c r="F17" s="131"/>
      <c r="G17" s="132"/>
      <c r="H17" s="133" t="s">
        <v>71</v>
      </c>
      <c r="I17" s="134">
        <f>I14/2</f>
        <v>15</v>
      </c>
      <c r="J17" s="134">
        <f>K17*1.5</f>
        <v>4.5</v>
      </c>
      <c r="K17" s="134">
        <f t="shared" si="0"/>
        <v>3</v>
      </c>
      <c r="N17" s="3" t="s">
        <v>113</v>
      </c>
      <c r="P17" s="57"/>
    </row>
    <row r="18" spans="1:16" s="3" customFormat="1" ht="15.6" customHeight="1" x14ac:dyDescent="0.3">
      <c r="A18" s="66" t="s">
        <v>96</v>
      </c>
      <c r="B18" s="136"/>
      <c r="E18" s="128" t="s">
        <v>36</v>
      </c>
      <c r="F18" s="128"/>
      <c r="H18" s="99" t="s">
        <v>71</v>
      </c>
      <c r="I18" s="130">
        <f>I14/2</f>
        <v>15</v>
      </c>
      <c r="J18" s="1">
        <f>K18*1.5</f>
        <v>4.5</v>
      </c>
      <c r="K18" s="1">
        <f t="shared" si="0"/>
        <v>3</v>
      </c>
      <c r="N18" s="3" t="s">
        <v>60</v>
      </c>
      <c r="P18" s="57"/>
    </row>
    <row r="19" spans="1:16" s="3" customFormat="1" ht="15.6" customHeight="1" x14ac:dyDescent="0.3">
      <c r="A19" s="67"/>
      <c r="B19" s="27"/>
      <c r="E19" s="131" t="s">
        <v>22</v>
      </c>
      <c r="F19" s="131"/>
      <c r="G19" s="132"/>
      <c r="H19" s="133" t="s">
        <v>73</v>
      </c>
      <c r="I19" s="137" t="s">
        <v>193</v>
      </c>
      <c r="J19" s="137" t="s">
        <v>194</v>
      </c>
      <c r="K19" s="137"/>
      <c r="N19" s="3" t="s">
        <v>137</v>
      </c>
      <c r="P19" s="57"/>
    </row>
    <row r="20" spans="1:16" s="3" customFormat="1" ht="15.6" customHeight="1" x14ac:dyDescent="0.3">
      <c r="A20" s="68" t="s">
        <v>241</v>
      </c>
      <c r="B20" s="42"/>
      <c r="N20" s="186" t="s">
        <v>120</v>
      </c>
      <c r="O20" s="186"/>
      <c r="P20" s="187"/>
    </row>
    <row r="21" spans="1:16" s="3" customFormat="1" ht="15.6" customHeight="1" x14ac:dyDescent="0.3">
      <c r="A21" s="67" t="s">
        <v>242</v>
      </c>
      <c r="B21" s="28"/>
      <c r="E21" s="138" t="str">
        <f>'Cleric A'!E21</f>
        <v>Carica, Ritirata difensiva, Difesa totale</v>
      </c>
      <c r="N21" s="3" t="s">
        <v>179</v>
      </c>
      <c r="P21" s="69"/>
    </row>
    <row r="22" spans="1:16" ht="15.6" customHeight="1" x14ac:dyDescent="0.3">
      <c r="A22" s="70" t="s">
        <v>243</v>
      </c>
      <c r="B22" s="43"/>
      <c r="E22" s="138" t="str">
        <f>'Cleric A'!E22</f>
        <v>Spinta, Disarmo, Parare (F), Colpo potente (F)</v>
      </c>
      <c r="F22" s="3"/>
      <c r="N22" s="139"/>
      <c r="O22" s="139" t="s">
        <v>46</v>
      </c>
      <c r="P22" s="71">
        <v>12</v>
      </c>
    </row>
    <row r="23" spans="1:16" ht="15.6" customHeight="1" x14ac:dyDescent="0.3">
      <c r="A23" s="67" t="s">
        <v>244</v>
      </c>
      <c r="B23" s="28"/>
      <c r="E23" s="138" t="str">
        <f>'Cleric A'!E23</f>
        <v>Afferrrare, Liberarsi da presa, Azione Pronta</v>
      </c>
      <c r="M23" s="128"/>
      <c r="N23" s="140"/>
      <c r="O23" s="28"/>
      <c r="P23" s="72"/>
    </row>
    <row r="24" spans="1:16" ht="15.6" customHeight="1" x14ac:dyDescent="0.3">
      <c r="A24" s="70" t="s">
        <v>245</v>
      </c>
      <c r="B24" s="43"/>
      <c r="E24" s="138" t="str">
        <f>'Cleric A'!E24</f>
        <v xml:space="preserve">Attraversare alleati ©, Passare posizione © , </v>
      </c>
      <c r="M24" s="128"/>
      <c r="N24" s="41"/>
      <c r="O24" s="41" t="s">
        <v>236</v>
      </c>
      <c r="P24" s="73" t="s">
        <v>237</v>
      </c>
    </row>
    <row r="25" spans="1:16" ht="15.6" customHeight="1" x14ac:dyDescent="0.3">
      <c r="A25" s="67" t="s">
        <v>246</v>
      </c>
      <c r="B25" s="28"/>
      <c r="E25" s="138" t="str">
        <f>'Cleric A'!E25</f>
        <v>Azione pronta, Preparare per carica</v>
      </c>
      <c r="N25" s="141" t="s">
        <v>42</v>
      </c>
      <c r="O25" s="28"/>
      <c r="P25" s="74"/>
    </row>
    <row r="26" spans="1:16" ht="15.6" customHeight="1" x14ac:dyDescent="0.3">
      <c r="A26" s="70" t="s">
        <v>79</v>
      </c>
      <c r="B26" s="43"/>
      <c r="E26" s="138" t="str">
        <f>'Cleric A'!E26</f>
        <v>Prone: +2 TxC nemici, metà mov per alzarsi</v>
      </c>
      <c r="N26" s="141" t="s">
        <v>39</v>
      </c>
      <c r="O26" s="28"/>
      <c r="P26" s="74">
        <v>500</v>
      </c>
    </row>
    <row r="27" spans="1:16" ht="15.6" customHeight="1" x14ac:dyDescent="0.3">
      <c r="A27" s="75" t="s">
        <v>247</v>
      </c>
      <c r="B27" s="23"/>
      <c r="E27" s="138" t="str">
        <f>'Cleric A'!E27</f>
        <v>Copertura: Parziale -2 TxC | Quasi Totale -4 TxC</v>
      </c>
      <c r="N27" s="141" t="s">
        <v>43</v>
      </c>
      <c r="O27" s="28"/>
      <c r="P27" s="74"/>
    </row>
    <row r="28" spans="1:16" ht="15.6" customHeight="1" x14ac:dyDescent="0.3">
      <c r="A28" s="63"/>
      <c r="E28" s="138" t="str">
        <f>'Cleric A'!E28</f>
        <v>Tiro oltre 1* alleato: -2 TxC, 1 Colpito Alleato</v>
      </c>
      <c r="N28" s="141" t="s">
        <v>40</v>
      </c>
      <c r="O28" s="28"/>
      <c r="P28" s="74"/>
    </row>
    <row r="29" spans="1:16" ht="15.6" customHeight="1" x14ac:dyDescent="0.3">
      <c r="A29" s="75"/>
      <c r="B29" s="23"/>
      <c r="E29" s="138" t="str">
        <f>'Cleric A'!E29</f>
        <v>Distanza:   corta +1, lunga -1</v>
      </c>
      <c r="N29" s="144"/>
      <c r="O29" s="139" t="s">
        <v>46</v>
      </c>
      <c r="P29" s="71">
        <v>5</v>
      </c>
    </row>
    <row r="30" spans="1:16" x14ac:dyDescent="0.3">
      <c r="A30" s="63"/>
      <c r="E30" s="138" t="str">
        <f>'Cleric A'!E30</f>
        <v>Copertura vs area: Parz. +2 TS, Quasi tot. +4 TS</v>
      </c>
      <c r="P30" s="62"/>
    </row>
    <row r="31" spans="1:16" ht="15.6" customHeight="1" x14ac:dyDescent="0.3">
      <c r="A31" s="64" t="s">
        <v>41</v>
      </c>
      <c r="B31" s="29"/>
      <c r="C31" s="34" t="s">
        <v>97</v>
      </c>
      <c r="D31" s="31"/>
      <c r="E31" s="34" t="s">
        <v>98</v>
      </c>
      <c r="F31" s="31"/>
      <c r="G31" s="34" t="s">
        <v>99</v>
      </c>
      <c r="H31" s="31"/>
      <c r="I31" s="34"/>
      <c r="J31" s="31"/>
      <c r="K31" s="31"/>
      <c r="N31" s="29" t="s">
        <v>29</v>
      </c>
      <c r="O31" s="31"/>
      <c r="P31" s="59"/>
    </row>
    <row r="32" spans="1:16" x14ac:dyDescent="0.3">
      <c r="A32" s="85" t="s">
        <v>30</v>
      </c>
      <c r="B32" s="2" t="s">
        <v>188</v>
      </c>
      <c r="N32" s="2" t="s">
        <v>184</v>
      </c>
      <c r="P32" s="62"/>
    </row>
    <row r="33" spans="1:27" x14ac:dyDescent="0.3">
      <c r="A33" s="85" t="s">
        <v>31</v>
      </c>
      <c r="B33" s="2" t="s">
        <v>189</v>
      </c>
      <c r="N33" s="2" t="s">
        <v>32</v>
      </c>
      <c r="P33" s="62"/>
    </row>
    <row r="34" spans="1:27" x14ac:dyDescent="0.3">
      <c r="A34" s="85" t="s">
        <v>38</v>
      </c>
      <c r="B34" s="2" t="s">
        <v>187</v>
      </c>
      <c r="N34" s="2" t="s">
        <v>192</v>
      </c>
      <c r="P34" s="62"/>
    </row>
    <row r="35" spans="1:27" x14ac:dyDescent="0.3">
      <c r="A35" s="63"/>
      <c r="N35" s="2" t="s">
        <v>185</v>
      </c>
      <c r="P35" s="62"/>
    </row>
    <row r="36" spans="1:27" x14ac:dyDescent="0.3">
      <c r="A36" s="63"/>
      <c r="L36" s="145" t="s">
        <v>206</v>
      </c>
      <c r="P36" s="62"/>
    </row>
    <row r="37" spans="1:27" ht="15.6" x14ac:dyDescent="0.3">
      <c r="A37" s="78" t="s">
        <v>15</v>
      </c>
      <c r="B37" s="26" t="s">
        <v>19</v>
      </c>
      <c r="C37" s="33" t="s">
        <v>20</v>
      </c>
      <c r="D37" s="4">
        <v>8</v>
      </c>
      <c r="E37" s="33">
        <f>D37-1</f>
        <v>7</v>
      </c>
      <c r="F37" s="4">
        <f t="shared" ref="F37:L37" si="1">E37-1</f>
        <v>6</v>
      </c>
      <c r="G37" s="33">
        <f t="shared" si="1"/>
        <v>5</v>
      </c>
      <c r="H37" s="4">
        <f t="shared" si="1"/>
        <v>4</v>
      </c>
      <c r="I37" s="33">
        <f t="shared" si="1"/>
        <v>3</v>
      </c>
      <c r="J37" s="4">
        <f t="shared" si="1"/>
        <v>2</v>
      </c>
      <c r="K37" s="33">
        <f t="shared" si="1"/>
        <v>1</v>
      </c>
      <c r="L37" s="4">
        <f t="shared" si="1"/>
        <v>0</v>
      </c>
      <c r="M37" s="188" t="s">
        <v>26</v>
      </c>
      <c r="N37" s="188"/>
      <c r="O37" s="29" t="s">
        <v>27</v>
      </c>
      <c r="P37" s="59"/>
    </row>
    <row r="38" spans="1:27" ht="18" x14ac:dyDescent="0.3">
      <c r="A38" s="77" t="s">
        <v>148</v>
      </c>
      <c r="B38" s="1" t="s">
        <v>23</v>
      </c>
      <c r="C38" s="146">
        <v>6</v>
      </c>
      <c r="D38" s="147">
        <f>C38+1</f>
        <v>7</v>
      </c>
      <c r="E38" s="146">
        <f t="shared" ref="E38:L38" si="2">D38+1</f>
        <v>8</v>
      </c>
      <c r="F38" s="147">
        <f t="shared" si="2"/>
        <v>9</v>
      </c>
      <c r="G38" s="146">
        <f t="shared" si="2"/>
        <v>10</v>
      </c>
      <c r="H38" s="147">
        <f t="shared" si="2"/>
        <v>11</v>
      </c>
      <c r="I38" s="146">
        <f t="shared" si="2"/>
        <v>12</v>
      </c>
      <c r="J38" s="147">
        <f t="shared" si="2"/>
        <v>13</v>
      </c>
      <c r="K38" s="146">
        <f t="shared" si="2"/>
        <v>14</v>
      </c>
      <c r="L38" s="147">
        <f t="shared" si="2"/>
        <v>15</v>
      </c>
      <c r="M38" s="189" t="s">
        <v>186</v>
      </c>
      <c r="N38" s="189"/>
      <c r="P38" s="62"/>
    </row>
    <row r="39" spans="1:27" ht="18" x14ac:dyDescent="0.3">
      <c r="A39" s="77" t="s">
        <v>24</v>
      </c>
      <c r="B39" s="1" t="s">
        <v>23</v>
      </c>
      <c r="C39" s="146">
        <v>6</v>
      </c>
      <c r="D39" s="147">
        <f t="shared" ref="D39:L40" si="3">C39+1</f>
        <v>7</v>
      </c>
      <c r="E39" s="146">
        <f t="shared" si="3"/>
        <v>8</v>
      </c>
      <c r="F39" s="147">
        <f t="shared" si="3"/>
        <v>9</v>
      </c>
      <c r="G39" s="146">
        <f t="shared" si="3"/>
        <v>10</v>
      </c>
      <c r="H39" s="147">
        <f t="shared" si="3"/>
        <v>11</v>
      </c>
      <c r="I39" s="146">
        <f t="shared" si="3"/>
        <v>12</v>
      </c>
      <c r="J39" s="147">
        <f t="shared" si="3"/>
        <v>13</v>
      </c>
      <c r="K39" s="146">
        <f t="shared" si="3"/>
        <v>14</v>
      </c>
      <c r="L39" s="147">
        <f t="shared" si="3"/>
        <v>15</v>
      </c>
      <c r="M39" s="190" t="s">
        <v>108</v>
      </c>
      <c r="N39" s="190"/>
      <c r="O39" s="3"/>
      <c r="P39" s="62"/>
      <c r="AA39"/>
    </row>
    <row r="40" spans="1:27" ht="18.600000000000001" thickBot="1" x14ac:dyDescent="0.35">
      <c r="A40" s="79" t="s">
        <v>25</v>
      </c>
      <c r="B40" s="80" t="s">
        <v>109</v>
      </c>
      <c r="C40" s="81">
        <v>8</v>
      </c>
      <c r="D40" s="82">
        <f t="shared" si="3"/>
        <v>9</v>
      </c>
      <c r="E40" s="81">
        <f t="shared" si="3"/>
        <v>10</v>
      </c>
      <c r="F40" s="82">
        <f t="shared" si="3"/>
        <v>11</v>
      </c>
      <c r="G40" s="81">
        <f t="shared" si="3"/>
        <v>12</v>
      </c>
      <c r="H40" s="82">
        <f t="shared" si="3"/>
        <v>13</v>
      </c>
      <c r="I40" s="81">
        <f t="shared" si="3"/>
        <v>14</v>
      </c>
      <c r="J40" s="82">
        <f t="shared" si="3"/>
        <v>15</v>
      </c>
      <c r="K40" s="81">
        <f t="shared" si="3"/>
        <v>16</v>
      </c>
      <c r="L40" s="82">
        <f t="shared" si="3"/>
        <v>17</v>
      </c>
      <c r="M40" s="191" t="s">
        <v>28</v>
      </c>
      <c r="N40" s="191"/>
      <c r="O40" s="83"/>
      <c r="P40" s="84"/>
    </row>
  </sheetData>
  <mergeCells count="17">
    <mergeCell ref="N20:P20"/>
    <mergeCell ref="M37:N37"/>
    <mergeCell ref="M38:N38"/>
    <mergeCell ref="M39:N39"/>
    <mergeCell ref="M40:N40"/>
    <mergeCell ref="C6:I6"/>
    <mergeCell ref="M6:O6"/>
    <mergeCell ref="C7:I7"/>
    <mergeCell ref="M7:O7"/>
    <mergeCell ref="C8:I8"/>
    <mergeCell ref="M8:O8"/>
    <mergeCell ref="A14:B16"/>
    <mergeCell ref="C9:I9"/>
    <mergeCell ref="M9:O9"/>
    <mergeCell ref="C10:I10"/>
    <mergeCell ref="M10:O10"/>
    <mergeCell ref="C11:I11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82626-440A-421A-816A-4B07BD0E71A6}">
  <dimension ref="A1:AA40"/>
  <sheetViews>
    <sheetView topLeftCell="A24" zoomScale="120" zoomScaleNormal="120" workbookViewId="0">
      <selection activeCell="J46" sqref="J46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44" t="s">
        <v>0</v>
      </c>
      <c r="B1" s="45" t="s">
        <v>166</v>
      </c>
      <c r="C1" s="45"/>
      <c r="D1" s="46"/>
      <c r="E1" s="47"/>
      <c r="F1" s="48"/>
      <c r="G1" s="49" t="s">
        <v>180</v>
      </c>
      <c r="H1" s="45"/>
      <c r="I1" s="48"/>
      <c r="J1" s="50"/>
      <c r="K1" s="51" t="s">
        <v>34</v>
      </c>
      <c r="L1" s="46"/>
      <c r="M1" s="46"/>
      <c r="N1" s="52" t="s">
        <v>95</v>
      </c>
      <c r="O1" s="45"/>
      <c r="P1" s="53"/>
    </row>
    <row r="2" spans="1:16" ht="20.399999999999999" customHeight="1" x14ac:dyDescent="0.3">
      <c r="A2" s="54" t="s">
        <v>94</v>
      </c>
      <c r="B2" s="35" t="s">
        <v>167</v>
      </c>
      <c r="C2" s="35"/>
      <c r="D2" s="117"/>
      <c r="E2" s="36" t="s">
        <v>33</v>
      </c>
      <c r="F2" s="37"/>
      <c r="G2" s="37" t="s">
        <v>167</v>
      </c>
      <c r="H2" s="37"/>
      <c r="I2" s="38" t="s">
        <v>128</v>
      </c>
      <c r="J2" s="117"/>
      <c r="K2" s="118" t="s">
        <v>1</v>
      </c>
      <c r="L2" s="119"/>
      <c r="M2" s="119"/>
      <c r="N2" s="35" t="s">
        <v>50</v>
      </c>
      <c r="O2" s="35"/>
      <c r="P2" s="55"/>
    </row>
    <row r="3" spans="1:16" ht="9.6" customHeight="1" x14ac:dyDescent="0.3">
      <c r="A3" s="56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57"/>
    </row>
    <row r="4" spans="1:16" ht="18.600000000000001" customHeight="1" x14ac:dyDescent="0.3">
      <c r="A4" s="87" t="s">
        <v>8</v>
      </c>
      <c r="B4" s="120">
        <v>2</v>
      </c>
      <c r="C4" s="1"/>
      <c r="E4" s="121" t="s">
        <v>46</v>
      </c>
      <c r="F4" s="122">
        <v>22</v>
      </c>
      <c r="G4" s="123" t="s">
        <v>168</v>
      </c>
      <c r="H4" s="1"/>
      <c r="I4" s="1"/>
      <c r="J4" s="124"/>
      <c r="L4" s="125" t="s">
        <v>93</v>
      </c>
      <c r="M4" s="122">
        <v>0</v>
      </c>
      <c r="N4" s="1"/>
      <c r="O4" s="121" t="s">
        <v>9</v>
      </c>
      <c r="P4" s="88">
        <v>44</v>
      </c>
    </row>
    <row r="5" spans="1:16" ht="19.8" customHeight="1" x14ac:dyDescent="0.3">
      <c r="A5" s="58" t="s">
        <v>29</v>
      </c>
      <c r="B5" s="32"/>
      <c r="J5" s="2" t="s">
        <v>92</v>
      </c>
      <c r="M5" s="32" t="s">
        <v>10</v>
      </c>
      <c r="N5" s="31"/>
      <c r="O5" s="31"/>
      <c r="P5" s="59"/>
    </row>
    <row r="6" spans="1:16" ht="32.4" customHeight="1" x14ac:dyDescent="0.3">
      <c r="A6" s="60">
        <v>13</v>
      </c>
      <c r="B6" s="126" t="s">
        <v>2</v>
      </c>
      <c r="C6" s="184" t="s">
        <v>169</v>
      </c>
      <c r="D6" s="184"/>
      <c r="E6" s="184"/>
      <c r="F6" s="184"/>
      <c r="G6" s="184"/>
      <c r="H6" s="184"/>
      <c r="I6" s="184"/>
      <c r="J6" s="127">
        <v>1</v>
      </c>
      <c r="K6" s="127"/>
      <c r="M6" s="185" t="s">
        <v>51</v>
      </c>
      <c r="N6" s="185"/>
      <c r="O6" s="185"/>
      <c r="P6" s="61">
        <v>6</v>
      </c>
    </row>
    <row r="7" spans="1:16" ht="32.4" customHeight="1" x14ac:dyDescent="0.3">
      <c r="A7" s="60">
        <v>10</v>
      </c>
      <c r="B7" s="126" t="s">
        <v>3</v>
      </c>
      <c r="C7" s="184" t="s">
        <v>87</v>
      </c>
      <c r="D7" s="184"/>
      <c r="E7" s="184"/>
      <c r="F7" s="184"/>
      <c r="G7" s="184"/>
      <c r="H7" s="184"/>
      <c r="I7" s="184"/>
      <c r="J7" s="127">
        <v>0</v>
      </c>
      <c r="K7" s="127"/>
      <c r="M7" s="185" t="s">
        <v>11</v>
      </c>
      <c r="N7" s="185"/>
      <c r="O7" s="185"/>
      <c r="P7" s="61">
        <v>6</v>
      </c>
    </row>
    <row r="8" spans="1:16" ht="32.4" customHeight="1" x14ac:dyDescent="0.3">
      <c r="A8" s="60">
        <v>16</v>
      </c>
      <c r="B8" s="126" t="s">
        <v>4</v>
      </c>
      <c r="C8" s="184" t="s">
        <v>130</v>
      </c>
      <c r="D8" s="184"/>
      <c r="E8" s="184"/>
      <c r="F8" s="184"/>
      <c r="G8" s="184"/>
      <c r="H8" s="184"/>
      <c r="I8" s="184"/>
      <c r="J8" s="127">
        <v>2</v>
      </c>
      <c r="K8" s="127"/>
      <c r="M8" s="185" t="s">
        <v>14</v>
      </c>
      <c r="N8" s="185"/>
      <c r="O8" s="185"/>
      <c r="P8" s="61">
        <v>7</v>
      </c>
    </row>
    <row r="9" spans="1:16" ht="32.4" customHeight="1" x14ac:dyDescent="0.3">
      <c r="A9" s="60">
        <v>10</v>
      </c>
      <c r="B9" s="126" t="s">
        <v>5</v>
      </c>
      <c r="C9" s="184" t="s">
        <v>170</v>
      </c>
      <c r="D9" s="184"/>
      <c r="E9" s="184"/>
      <c r="F9" s="184"/>
      <c r="G9" s="184"/>
      <c r="H9" s="184"/>
      <c r="I9" s="184"/>
      <c r="J9" s="127">
        <v>0</v>
      </c>
      <c r="K9" s="127"/>
      <c r="M9" s="185" t="s">
        <v>12</v>
      </c>
      <c r="N9" s="185"/>
      <c r="O9" s="185"/>
      <c r="P9" s="61">
        <v>10</v>
      </c>
    </row>
    <row r="10" spans="1:16" ht="32.4" customHeight="1" x14ac:dyDescent="0.3">
      <c r="A10" s="60">
        <v>13</v>
      </c>
      <c r="B10" s="126" t="s">
        <v>6</v>
      </c>
      <c r="C10" s="184" t="s">
        <v>171</v>
      </c>
      <c r="D10" s="184"/>
      <c r="E10" s="184"/>
      <c r="F10" s="184"/>
      <c r="G10" s="184"/>
      <c r="H10" s="184"/>
      <c r="I10" s="184"/>
      <c r="J10" s="127">
        <v>1</v>
      </c>
      <c r="K10" s="127"/>
      <c r="M10" s="185" t="s">
        <v>13</v>
      </c>
      <c r="N10" s="185"/>
      <c r="O10" s="185"/>
      <c r="P10" s="61">
        <v>9</v>
      </c>
    </row>
    <row r="11" spans="1:16" ht="32.4" customHeight="1" x14ac:dyDescent="0.3">
      <c r="A11" s="60">
        <v>11</v>
      </c>
      <c r="B11" s="126" t="s">
        <v>7</v>
      </c>
      <c r="C11" s="184" t="s">
        <v>90</v>
      </c>
      <c r="D11" s="184"/>
      <c r="E11" s="184"/>
      <c r="F11" s="184"/>
      <c r="G11" s="184"/>
      <c r="H11" s="184"/>
      <c r="I11" s="184"/>
      <c r="J11" s="127">
        <v>0</v>
      </c>
      <c r="K11" s="127"/>
      <c r="P11" s="116" t="str">
        <f>'Cleric A'!P11</f>
        <v>TS: tiro ≥ valore = successo</v>
      </c>
    </row>
    <row r="12" spans="1:16" ht="9" customHeight="1" x14ac:dyDescent="0.3">
      <c r="A12" s="63"/>
      <c r="P12" s="62"/>
    </row>
    <row r="13" spans="1:16" s="3" customFormat="1" ht="15.6" customHeight="1" x14ac:dyDescent="0.3">
      <c r="A13" s="64" t="s">
        <v>16</v>
      </c>
      <c r="B13" s="29"/>
      <c r="C13" s="128"/>
      <c r="E13" s="29" t="s">
        <v>17</v>
      </c>
      <c r="F13" s="29"/>
      <c r="G13" s="29"/>
      <c r="H13" s="128"/>
      <c r="I13" s="129" t="s">
        <v>66</v>
      </c>
      <c r="J13" s="129" t="s">
        <v>67</v>
      </c>
      <c r="K13" s="129" t="s">
        <v>68</v>
      </c>
      <c r="N13" s="29" t="s">
        <v>56</v>
      </c>
      <c r="O13" s="30"/>
      <c r="P13" s="65"/>
    </row>
    <row r="14" spans="1:16" s="3" customFormat="1" ht="15.6" customHeight="1" x14ac:dyDescent="0.3">
      <c r="A14" s="180" t="s">
        <v>172</v>
      </c>
      <c r="B14" s="181"/>
      <c r="E14" s="128" t="s">
        <v>21</v>
      </c>
      <c r="F14" s="128"/>
      <c r="H14" s="99" t="s">
        <v>71</v>
      </c>
      <c r="I14" s="130">
        <v>20</v>
      </c>
      <c r="J14" s="1">
        <f>K14*1.5</f>
        <v>6</v>
      </c>
      <c r="K14" s="1">
        <f>I14/5</f>
        <v>4</v>
      </c>
      <c r="N14" s="3" t="s">
        <v>57</v>
      </c>
      <c r="P14" s="57"/>
    </row>
    <row r="15" spans="1:16" s="3" customFormat="1" ht="15.6" customHeight="1" x14ac:dyDescent="0.3">
      <c r="A15" s="182"/>
      <c r="B15" s="183"/>
      <c r="E15" s="131" t="s">
        <v>37</v>
      </c>
      <c r="F15" s="131"/>
      <c r="G15" s="132"/>
      <c r="H15" s="133" t="s">
        <v>72</v>
      </c>
      <c r="I15" s="134">
        <v>60</v>
      </c>
      <c r="J15" s="134">
        <f>K15*1.5</f>
        <v>18</v>
      </c>
      <c r="K15" s="134">
        <f t="shared" ref="K15:K18" si="0">I15/5</f>
        <v>12</v>
      </c>
      <c r="N15" s="3" t="s">
        <v>136</v>
      </c>
      <c r="P15" s="57"/>
    </row>
    <row r="16" spans="1:16" s="3" customFormat="1" ht="15.6" customHeight="1" x14ac:dyDescent="0.3">
      <c r="A16" s="182"/>
      <c r="B16" s="183"/>
      <c r="E16" s="128" t="s">
        <v>18</v>
      </c>
      <c r="F16" s="128"/>
      <c r="H16" s="99" t="s">
        <v>71</v>
      </c>
      <c r="I16" s="130">
        <v>60</v>
      </c>
      <c r="J16" s="1">
        <f>K16*1.5</f>
        <v>18</v>
      </c>
      <c r="K16" s="1">
        <f t="shared" si="0"/>
        <v>12</v>
      </c>
      <c r="N16" s="3" t="s">
        <v>152</v>
      </c>
      <c r="P16" s="57"/>
    </row>
    <row r="17" spans="1:16" s="3" customFormat="1" ht="15.6" customHeight="1" x14ac:dyDescent="0.3">
      <c r="A17" s="66" t="s">
        <v>207</v>
      </c>
      <c r="B17" s="135"/>
      <c r="E17" s="131" t="s">
        <v>35</v>
      </c>
      <c r="F17" s="131"/>
      <c r="G17" s="132"/>
      <c r="H17" s="133" t="s">
        <v>71</v>
      </c>
      <c r="I17" s="134">
        <v>10</v>
      </c>
      <c r="J17" s="134">
        <f>K17*1.5</f>
        <v>3</v>
      </c>
      <c r="K17" s="134">
        <f t="shared" si="0"/>
        <v>2</v>
      </c>
      <c r="N17" s="3" t="s">
        <v>60</v>
      </c>
      <c r="P17" s="57"/>
    </row>
    <row r="18" spans="1:16" s="3" customFormat="1" ht="15.6" customHeight="1" x14ac:dyDescent="0.3">
      <c r="A18" s="66" t="s">
        <v>96</v>
      </c>
      <c r="B18" s="136"/>
      <c r="E18" s="128" t="s">
        <v>36</v>
      </c>
      <c r="F18" s="128"/>
      <c r="H18" s="99" t="s">
        <v>71</v>
      </c>
      <c r="I18" s="130">
        <v>10</v>
      </c>
      <c r="J18" s="1">
        <f>K18*1.5</f>
        <v>3</v>
      </c>
      <c r="K18" s="1">
        <f t="shared" si="0"/>
        <v>2</v>
      </c>
      <c r="N18" s="3" t="s">
        <v>178</v>
      </c>
      <c r="P18" s="57"/>
    </row>
    <row r="19" spans="1:16" s="3" customFormat="1" ht="15.6" customHeight="1" x14ac:dyDescent="0.3">
      <c r="A19" s="67"/>
      <c r="B19" s="27"/>
      <c r="E19" s="131" t="s">
        <v>22</v>
      </c>
      <c r="F19" s="131"/>
      <c r="G19" s="132"/>
      <c r="H19" s="133" t="s">
        <v>73</v>
      </c>
      <c r="I19" s="137" t="s">
        <v>70</v>
      </c>
      <c r="J19" s="137" t="s">
        <v>69</v>
      </c>
      <c r="K19" s="137"/>
      <c r="N19" s="3" t="s">
        <v>179</v>
      </c>
      <c r="P19" s="57"/>
    </row>
    <row r="20" spans="1:16" s="3" customFormat="1" ht="15.6" customHeight="1" x14ac:dyDescent="0.3">
      <c r="A20" s="68" t="s">
        <v>241</v>
      </c>
      <c r="B20" s="42"/>
      <c r="N20" s="186" t="s">
        <v>120</v>
      </c>
      <c r="O20" s="186"/>
      <c r="P20" s="187"/>
    </row>
    <row r="21" spans="1:16" s="3" customFormat="1" ht="15.6" customHeight="1" x14ac:dyDescent="0.3">
      <c r="A21" s="67" t="s">
        <v>242</v>
      </c>
      <c r="B21" s="28"/>
      <c r="E21" s="138" t="str">
        <f>'Cleric A'!E21</f>
        <v>Carica, Ritirata difensiva, Difesa totale</v>
      </c>
      <c r="O21" s="169"/>
      <c r="P21" s="69"/>
    </row>
    <row r="22" spans="1:16" ht="15.6" customHeight="1" x14ac:dyDescent="0.3">
      <c r="A22" s="70" t="s">
        <v>243</v>
      </c>
      <c r="B22" s="43"/>
      <c r="E22" s="138" t="str">
        <f>'Cleric A'!E22</f>
        <v>Spinta, Disarmo, Parare (F), Colpo potente (F)</v>
      </c>
      <c r="N22" s="139"/>
      <c r="O22" s="139" t="s">
        <v>46</v>
      </c>
      <c r="P22" s="71">
        <v>11</v>
      </c>
    </row>
    <row r="23" spans="1:16" ht="15.6" customHeight="1" x14ac:dyDescent="0.3">
      <c r="A23" s="67" t="s">
        <v>244</v>
      </c>
      <c r="B23" s="28"/>
      <c r="E23" s="138" t="str">
        <f>'Cleric A'!E23</f>
        <v>Afferrrare, Liberarsi da presa, Azione Pronta</v>
      </c>
      <c r="M23" s="128"/>
      <c r="N23" s="140"/>
      <c r="O23" s="28"/>
      <c r="P23" s="72"/>
    </row>
    <row r="24" spans="1:16" ht="15.6" customHeight="1" x14ac:dyDescent="0.3">
      <c r="A24" s="70" t="s">
        <v>245</v>
      </c>
      <c r="B24" s="43"/>
      <c r="E24" s="138" t="str">
        <f>'Cleric A'!E24</f>
        <v xml:space="preserve">Attraversare alleati ©, Passare posizione © , </v>
      </c>
      <c r="M24" s="128"/>
      <c r="N24" s="41"/>
      <c r="O24" s="41" t="s">
        <v>236</v>
      </c>
      <c r="P24" s="73" t="s">
        <v>237</v>
      </c>
    </row>
    <row r="25" spans="1:16" ht="15.6" customHeight="1" x14ac:dyDescent="0.3">
      <c r="A25" s="67" t="s">
        <v>246</v>
      </c>
      <c r="B25" s="28"/>
      <c r="E25" s="138" t="str">
        <f>'Cleric A'!E25</f>
        <v>Azione pronta, Preparare per carica</v>
      </c>
      <c r="N25" s="141" t="s">
        <v>42</v>
      </c>
      <c r="O25" s="28"/>
      <c r="P25" s="74"/>
    </row>
    <row r="26" spans="1:16" ht="15.6" customHeight="1" x14ac:dyDescent="0.3">
      <c r="A26" s="70" t="s">
        <v>79</v>
      </c>
      <c r="B26" s="43"/>
      <c r="E26" s="138" t="str">
        <f>'Cleric A'!E26</f>
        <v>Prone: +2 TxC nemici, metà mov per alzarsi</v>
      </c>
      <c r="N26" s="141" t="s">
        <v>39</v>
      </c>
      <c r="O26" s="28"/>
      <c r="P26" s="74">
        <v>500</v>
      </c>
    </row>
    <row r="27" spans="1:16" ht="15.6" customHeight="1" x14ac:dyDescent="0.3">
      <c r="A27" s="75" t="s">
        <v>247</v>
      </c>
      <c r="B27" s="23"/>
      <c r="E27" s="138" t="str">
        <f>'Cleric A'!E27</f>
        <v>Copertura: Parziale -2 TxC | Quasi Totale -4 TxC</v>
      </c>
      <c r="N27" s="141" t="s">
        <v>43</v>
      </c>
      <c r="O27" s="28"/>
      <c r="P27" s="74"/>
    </row>
    <row r="28" spans="1:16" ht="15.6" customHeight="1" x14ac:dyDescent="0.3">
      <c r="A28" s="63"/>
      <c r="E28" s="138" t="str">
        <f>'Cleric A'!E28</f>
        <v>Tiro oltre 1* alleato: -2 TxC, 1 Colpito Alleato</v>
      </c>
      <c r="G28" s="130"/>
      <c r="I28" s="130"/>
      <c r="N28" s="141" t="s">
        <v>40</v>
      </c>
      <c r="O28" s="28"/>
      <c r="P28" s="74"/>
    </row>
    <row r="29" spans="1:16" ht="15.6" customHeight="1" x14ac:dyDescent="0.3">
      <c r="A29" s="75"/>
      <c r="B29" s="23"/>
      <c r="E29" s="138" t="str">
        <f>'Cleric A'!E29</f>
        <v>Distanza:   corta +1, lunga -1</v>
      </c>
      <c r="N29" s="144"/>
      <c r="O29" s="139" t="s">
        <v>46</v>
      </c>
      <c r="P29" s="71">
        <v>5</v>
      </c>
    </row>
    <row r="30" spans="1:16" x14ac:dyDescent="0.3">
      <c r="A30" s="63"/>
      <c r="E30" s="138" t="str">
        <f>'Cleric A'!E30</f>
        <v>Copertura vs area: Parz. +2 TS, Quasi tot. +4 TS</v>
      </c>
      <c r="P30" s="62"/>
    </row>
    <row r="31" spans="1:16" ht="15.6" customHeight="1" x14ac:dyDescent="0.3">
      <c r="A31" s="86" t="s">
        <v>125</v>
      </c>
      <c r="B31" s="166"/>
      <c r="C31" s="166" t="s">
        <v>8</v>
      </c>
      <c r="E31" s="138"/>
      <c r="N31" s="29" t="s">
        <v>29</v>
      </c>
      <c r="O31" s="31"/>
      <c r="P31" s="59"/>
    </row>
    <row r="32" spans="1:16" ht="15.6" x14ac:dyDescent="0.3">
      <c r="A32" s="76" t="s">
        <v>124</v>
      </c>
      <c r="B32" s="5"/>
      <c r="C32" s="167">
        <v>2</v>
      </c>
      <c r="E32" s="138"/>
      <c r="N32" s="2" t="s">
        <v>54</v>
      </c>
      <c r="P32" s="62"/>
    </row>
    <row r="33" spans="1:27" x14ac:dyDescent="0.3">
      <c r="A33" s="76" t="s">
        <v>122</v>
      </c>
      <c r="B33" s="5"/>
      <c r="C33" s="5">
        <v>3</v>
      </c>
      <c r="E33" s="138"/>
      <c r="N33" s="2" t="s">
        <v>32</v>
      </c>
      <c r="P33" s="62"/>
    </row>
    <row r="34" spans="1:27" x14ac:dyDescent="0.3">
      <c r="A34" s="76" t="s">
        <v>149</v>
      </c>
      <c r="B34" s="5"/>
      <c r="C34" s="5">
        <v>3</v>
      </c>
      <c r="N34" s="2" t="s">
        <v>55</v>
      </c>
      <c r="P34" s="62"/>
    </row>
    <row r="35" spans="1:27" x14ac:dyDescent="0.3">
      <c r="A35" s="76" t="s">
        <v>24</v>
      </c>
      <c r="B35" s="5"/>
      <c r="C35" s="5">
        <v>3</v>
      </c>
      <c r="N35" s="2" t="s">
        <v>173</v>
      </c>
      <c r="P35" s="62"/>
    </row>
    <row r="36" spans="1:27" x14ac:dyDescent="0.3">
      <c r="A36" s="63"/>
      <c r="L36" s="145" t="s">
        <v>206</v>
      </c>
      <c r="P36" s="62"/>
    </row>
    <row r="37" spans="1:27" ht="15.6" x14ac:dyDescent="0.3">
      <c r="A37" s="78" t="s">
        <v>15</v>
      </c>
      <c r="B37" s="26" t="s">
        <v>19</v>
      </c>
      <c r="C37" s="33" t="s">
        <v>20</v>
      </c>
      <c r="D37" s="4">
        <v>8</v>
      </c>
      <c r="E37" s="33">
        <f>D37-1</f>
        <v>7</v>
      </c>
      <c r="F37" s="4">
        <f t="shared" ref="F37:L37" si="1">E37-1</f>
        <v>6</v>
      </c>
      <c r="G37" s="33">
        <f t="shared" si="1"/>
        <v>5</v>
      </c>
      <c r="H37" s="4">
        <f t="shared" si="1"/>
        <v>4</v>
      </c>
      <c r="I37" s="33">
        <f t="shared" si="1"/>
        <v>3</v>
      </c>
      <c r="J37" s="4">
        <f t="shared" si="1"/>
        <v>2</v>
      </c>
      <c r="K37" s="33">
        <f t="shared" si="1"/>
        <v>1</v>
      </c>
      <c r="L37" s="4">
        <f t="shared" si="1"/>
        <v>0</v>
      </c>
      <c r="M37" s="188" t="s">
        <v>26</v>
      </c>
      <c r="N37" s="188"/>
      <c r="O37" s="29" t="s">
        <v>27</v>
      </c>
      <c r="P37" s="59"/>
    </row>
    <row r="38" spans="1:27" ht="18" x14ac:dyDescent="0.3">
      <c r="A38" s="77" t="s">
        <v>106</v>
      </c>
      <c r="B38" s="1" t="s">
        <v>226</v>
      </c>
      <c r="C38" s="146">
        <v>7</v>
      </c>
      <c r="D38" s="147">
        <f>C38+1</f>
        <v>8</v>
      </c>
      <c r="E38" s="146">
        <f t="shared" ref="E38:L38" si="2">D38+1</f>
        <v>9</v>
      </c>
      <c r="F38" s="147">
        <f t="shared" si="2"/>
        <v>10</v>
      </c>
      <c r="G38" s="146">
        <f t="shared" si="2"/>
        <v>11</v>
      </c>
      <c r="H38" s="147">
        <f t="shared" si="2"/>
        <v>12</v>
      </c>
      <c r="I38" s="146">
        <f t="shared" si="2"/>
        <v>13</v>
      </c>
      <c r="J38" s="147">
        <f t="shared" si="2"/>
        <v>14</v>
      </c>
      <c r="K38" s="146">
        <f t="shared" si="2"/>
        <v>15</v>
      </c>
      <c r="L38" s="147">
        <f t="shared" si="2"/>
        <v>16</v>
      </c>
      <c r="M38" s="189" t="s">
        <v>174</v>
      </c>
      <c r="N38" s="189"/>
      <c r="O38" s="2" t="s">
        <v>177</v>
      </c>
      <c r="P38" s="62"/>
    </row>
    <row r="39" spans="1:27" ht="18" x14ac:dyDescent="0.3">
      <c r="A39" s="77" t="s">
        <v>24</v>
      </c>
      <c r="B39" s="1" t="s">
        <v>23</v>
      </c>
      <c r="C39" s="146">
        <v>7</v>
      </c>
      <c r="D39" s="147">
        <f t="shared" ref="D39:L40" si="3">C39+1</f>
        <v>8</v>
      </c>
      <c r="E39" s="146">
        <f t="shared" si="3"/>
        <v>9</v>
      </c>
      <c r="F39" s="147">
        <f t="shared" si="3"/>
        <v>10</v>
      </c>
      <c r="G39" s="146">
        <f t="shared" si="3"/>
        <v>11</v>
      </c>
      <c r="H39" s="147">
        <f t="shared" si="3"/>
        <v>12</v>
      </c>
      <c r="I39" s="146">
        <f t="shared" si="3"/>
        <v>13</v>
      </c>
      <c r="J39" s="147">
        <f t="shared" si="3"/>
        <v>14</v>
      </c>
      <c r="K39" s="146">
        <f t="shared" si="3"/>
        <v>15</v>
      </c>
      <c r="L39" s="147">
        <f t="shared" si="3"/>
        <v>16</v>
      </c>
      <c r="M39" s="190" t="s">
        <v>176</v>
      </c>
      <c r="N39" s="190"/>
      <c r="O39" s="3" t="s">
        <v>118</v>
      </c>
      <c r="P39" s="62"/>
      <c r="AA39"/>
    </row>
    <row r="40" spans="1:27" ht="18.600000000000001" thickBot="1" x14ac:dyDescent="0.35">
      <c r="A40" s="79" t="s">
        <v>149</v>
      </c>
      <c r="B40" s="80" t="s">
        <v>175</v>
      </c>
      <c r="C40" s="81">
        <v>8</v>
      </c>
      <c r="D40" s="82">
        <f t="shared" si="3"/>
        <v>9</v>
      </c>
      <c r="E40" s="81">
        <f t="shared" si="3"/>
        <v>10</v>
      </c>
      <c r="F40" s="82">
        <f t="shared" si="3"/>
        <v>11</v>
      </c>
      <c r="G40" s="81">
        <f t="shared" si="3"/>
        <v>12</v>
      </c>
      <c r="H40" s="82">
        <f t="shared" si="3"/>
        <v>13</v>
      </c>
      <c r="I40" s="81">
        <f t="shared" si="3"/>
        <v>14</v>
      </c>
      <c r="J40" s="82">
        <f t="shared" si="3"/>
        <v>15</v>
      </c>
      <c r="K40" s="81">
        <f t="shared" si="3"/>
        <v>16</v>
      </c>
      <c r="L40" s="82">
        <f t="shared" si="3"/>
        <v>17</v>
      </c>
      <c r="M40" s="191" t="s">
        <v>28</v>
      </c>
      <c r="N40" s="191"/>
      <c r="O40" s="83" t="s">
        <v>119</v>
      </c>
      <c r="P40" s="84"/>
    </row>
  </sheetData>
  <mergeCells count="17">
    <mergeCell ref="N20:P20"/>
    <mergeCell ref="M37:N37"/>
    <mergeCell ref="M38:N38"/>
    <mergeCell ref="M39:N39"/>
    <mergeCell ref="M40:N40"/>
    <mergeCell ref="C6:I6"/>
    <mergeCell ref="M6:O6"/>
    <mergeCell ref="C7:I7"/>
    <mergeCell ref="M7:O7"/>
    <mergeCell ref="C8:I8"/>
    <mergeCell ref="M8:O8"/>
    <mergeCell ref="A14:B16"/>
    <mergeCell ref="C9:I9"/>
    <mergeCell ref="M9:O9"/>
    <mergeCell ref="C10:I10"/>
    <mergeCell ref="M10:O10"/>
    <mergeCell ref="C11:I11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7570B-E252-4754-963B-16F0C4F39BE1}">
  <dimension ref="A1:AA40"/>
  <sheetViews>
    <sheetView zoomScale="120" zoomScaleNormal="120" workbookViewId="0">
      <selection activeCell="L47" sqref="L47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44" t="s">
        <v>0</v>
      </c>
      <c r="B1" s="45" t="s">
        <v>146</v>
      </c>
      <c r="C1" s="45"/>
      <c r="D1" s="46"/>
      <c r="E1" s="47"/>
      <c r="F1" s="48"/>
      <c r="G1" s="49" t="s">
        <v>165</v>
      </c>
      <c r="H1" s="45"/>
      <c r="I1" s="48"/>
      <c r="J1" s="50"/>
      <c r="K1" s="51" t="s">
        <v>34</v>
      </c>
      <c r="L1" s="46"/>
      <c r="M1" s="46"/>
      <c r="N1" s="52" t="s">
        <v>95</v>
      </c>
      <c r="O1" s="45"/>
      <c r="P1" s="53"/>
    </row>
    <row r="2" spans="1:16" ht="20.399999999999999" customHeight="1" x14ac:dyDescent="0.3">
      <c r="A2" s="54" t="s">
        <v>94</v>
      </c>
      <c r="B2" s="35" t="s">
        <v>75</v>
      </c>
      <c r="C2" s="35"/>
      <c r="D2" s="117"/>
      <c r="E2" s="36" t="s">
        <v>33</v>
      </c>
      <c r="F2" s="37"/>
      <c r="G2" s="37" t="s">
        <v>145</v>
      </c>
      <c r="H2" s="37"/>
      <c r="I2" s="38" t="s">
        <v>102</v>
      </c>
      <c r="J2" s="117"/>
      <c r="K2" s="118" t="s">
        <v>1</v>
      </c>
      <c r="L2" s="119"/>
      <c r="M2" s="119"/>
      <c r="N2" s="35" t="s">
        <v>50</v>
      </c>
      <c r="O2" s="35"/>
      <c r="P2" s="55"/>
    </row>
    <row r="3" spans="1:16" ht="9.6" customHeight="1" x14ac:dyDescent="0.3">
      <c r="A3" s="56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57"/>
    </row>
    <row r="4" spans="1:16" ht="18.600000000000001" customHeight="1" x14ac:dyDescent="0.3">
      <c r="A4" s="87" t="s">
        <v>8</v>
      </c>
      <c r="B4" s="120">
        <v>4</v>
      </c>
      <c r="C4" s="1"/>
      <c r="E4" s="121" t="s">
        <v>46</v>
      </c>
      <c r="F4" s="122">
        <v>20</v>
      </c>
      <c r="G4" s="123" t="s">
        <v>63</v>
      </c>
      <c r="H4" s="1"/>
      <c r="I4" s="1"/>
      <c r="J4" s="124"/>
      <c r="L4" s="125" t="s">
        <v>93</v>
      </c>
      <c r="M4" s="122">
        <v>2</v>
      </c>
      <c r="N4" s="1"/>
      <c r="O4" s="121" t="s">
        <v>9</v>
      </c>
      <c r="P4" s="88">
        <v>26</v>
      </c>
    </row>
    <row r="5" spans="1:16" ht="19.8" customHeight="1" x14ac:dyDescent="0.3">
      <c r="A5" s="58" t="s">
        <v>29</v>
      </c>
      <c r="B5" s="32"/>
      <c r="J5" s="2" t="s">
        <v>92</v>
      </c>
      <c r="M5" s="32" t="s">
        <v>10</v>
      </c>
      <c r="N5" s="31"/>
      <c r="O5" s="31"/>
      <c r="P5" s="59"/>
    </row>
    <row r="6" spans="1:16" ht="32.4" customHeight="1" x14ac:dyDescent="0.3">
      <c r="A6" s="60">
        <v>9</v>
      </c>
      <c r="B6" s="126" t="s">
        <v>2</v>
      </c>
      <c r="C6" s="184" t="s">
        <v>85</v>
      </c>
      <c r="D6" s="184"/>
      <c r="E6" s="184"/>
      <c r="F6" s="184"/>
      <c r="G6" s="184"/>
      <c r="H6" s="184"/>
      <c r="I6" s="184"/>
      <c r="J6" s="127">
        <v>0</v>
      </c>
      <c r="K6" s="127"/>
      <c r="M6" s="185" t="s">
        <v>51</v>
      </c>
      <c r="N6" s="185"/>
      <c r="O6" s="185"/>
      <c r="P6" s="61">
        <v>12</v>
      </c>
    </row>
    <row r="7" spans="1:16" ht="32.4" customHeight="1" x14ac:dyDescent="0.3">
      <c r="A7" s="60">
        <v>16</v>
      </c>
      <c r="B7" s="126" t="s">
        <v>3</v>
      </c>
      <c r="C7" s="184" t="s">
        <v>116</v>
      </c>
      <c r="D7" s="184"/>
      <c r="E7" s="184"/>
      <c r="F7" s="184"/>
      <c r="G7" s="184"/>
      <c r="H7" s="184"/>
      <c r="I7" s="184"/>
      <c r="J7" s="127">
        <v>2</v>
      </c>
      <c r="K7" s="127"/>
      <c r="M7" s="185" t="s">
        <v>11</v>
      </c>
      <c r="N7" s="185"/>
      <c r="O7" s="185"/>
      <c r="P7" s="61">
        <v>14</v>
      </c>
    </row>
    <row r="8" spans="1:16" ht="32.4" customHeight="1" x14ac:dyDescent="0.3">
      <c r="A8" s="60">
        <v>13</v>
      </c>
      <c r="B8" s="126" t="s">
        <v>4</v>
      </c>
      <c r="C8" s="184" t="s">
        <v>130</v>
      </c>
      <c r="D8" s="184"/>
      <c r="E8" s="184"/>
      <c r="F8" s="184"/>
      <c r="G8" s="184"/>
      <c r="H8" s="184"/>
      <c r="I8" s="184"/>
      <c r="J8" s="127">
        <v>1</v>
      </c>
      <c r="K8" s="127"/>
      <c r="M8" s="185" t="s">
        <v>14</v>
      </c>
      <c r="N8" s="185"/>
      <c r="O8" s="185"/>
      <c r="P8" s="61">
        <v>12</v>
      </c>
    </row>
    <row r="9" spans="1:16" ht="32.4" customHeight="1" x14ac:dyDescent="0.3">
      <c r="A9" s="60">
        <v>14</v>
      </c>
      <c r="B9" s="126" t="s">
        <v>5</v>
      </c>
      <c r="C9" s="184" t="s">
        <v>131</v>
      </c>
      <c r="D9" s="184"/>
      <c r="E9" s="184"/>
      <c r="F9" s="184"/>
      <c r="G9" s="184"/>
      <c r="H9" s="184"/>
      <c r="I9" s="184"/>
      <c r="J9" s="127">
        <v>1</v>
      </c>
      <c r="K9" s="127"/>
      <c r="M9" s="185" t="s">
        <v>12</v>
      </c>
      <c r="N9" s="185"/>
      <c r="O9" s="185"/>
      <c r="P9" s="61">
        <v>16</v>
      </c>
    </row>
    <row r="10" spans="1:16" ht="32.4" customHeight="1" x14ac:dyDescent="0.3">
      <c r="A10" s="60">
        <v>6</v>
      </c>
      <c r="B10" s="126" t="s">
        <v>6</v>
      </c>
      <c r="C10" s="184" t="s">
        <v>117</v>
      </c>
      <c r="D10" s="184"/>
      <c r="E10" s="184"/>
      <c r="F10" s="184"/>
      <c r="G10" s="184"/>
      <c r="H10" s="184"/>
      <c r="I10" s="184"/>
      <c r="J10" s="127">
        <v>-1</v>
      </c>
      <c r="K10" s="127"/>
      <c r="M10" s="185" t="s">
        <v>13</v>
      </c>
      <c r="N10" s="185"/>
      <c r="O10" s="185"/>
      <c r="P10" s="61">
        <v>14</v>
      </c>
    </row>
    <row r="11" spans="1:16" ht="32.4" customHeight="1" x14ac:dyDescent="0.3">
      <c r="A11" s="60">
        <v>10</v>
      </c>
      <c r="B11" s="126" t="s">
        <v>7</v>
      </c>
      <c r="C11" s="184" t="s">
        <v>90</v>
      </c>
      <c r="D11" s="184"/>
      <c r="E11" s="184"/>
      <c r="F11" s="184"/>
      <c r="G11" s="184"/>
      <c r="H11" s="184"/>
      <c r="I11" s="184"/>
      <c r="J11" s="127">
        <v>0</v>
      </c>
      <c r="K11" s="127"/>
      <c r="P11" s="116" t="str">
        <f>'Cleric A'!P11</f>
        <v>TS: tiro ≥ valore = successo</v>
      </c>
    </row>
    <row r="12" spans="1:16" ht="8.4" customHeight="1" x14ac:dyDescent="0.3">
      <c r="A12" s="63"/>
      <c r="P12" s="62"/>
    </row>
    <row r="13" spans="1:16" s="3" customFormat="1" ht="15.6" customHeight="1" x14ac:dyDescent="0.3">
      <c r="A13" s="64" t="s">
        <v>16</v>
      </c>
      <c r="B13" s="29"/>
      <c r="C13" s="128"/>
      <c r="E13" s="29" t="s">
        <v>17</v>
      </c>
      <c r="F13" s="29"/>
      <c r="G13" s="29"/>
      <c r="H13" s="128"/>
      <c r="I13" s="129" t="s">
        <v>66</v>
      </c>
      <c r="J13" s="129" t="s">
        <v>67</v>
      </c>
      <c r="K13" s="129" t="s">
        <v>68</v>
      </c>
      <c r="N13" s="29" t="s">
        <v>56</v>
      </c>
      <c r="O13" s="30"/>
      <c r="P13" s="65"/>
    </row>
    <row r="14" spans="1:16" s="3" customFormat="1" ht="15.6" customHeight="1" x14ac:dyDescent="0.3">
      <c r="A14" s="180" t="s">
        <v>172</v>
      </c>
      <c r="B14" s="181"/>
      <c r="E14" s="128" t="s">
        <v>21</v>
      </c>
      <c r="F14" s="128"/>
      <c r="H14" s="99" t="s">
        <v>71</v>
      </c>
      <c r="I14" s="130">
        <v>40</v>
      </c>
      <c r="J14" s="1">
        <f>K14*1.5</f>
        <v>12</v>
      </c>
      <c r="K14" s="1">
        <f>I14/5</f>
        <v>8</v>
      </c>
      <c r="N14" s="3" t="s">
        <v>151</v>
      </c>
      <c r="P14" s="57"/>
    </row>
    <row r="15" spans="1:16" s="3" customFormat="1" ht="15.6" customHeight="1" x14ac:dyDescent="0.3">
      <c r="A15" s="182"/>
      <c r="B15" s="183"/>
      <c r="E15" s="131" t="s">
        <v>37</v>
      </c>
      <c r="F15" s="131"/>
      <c r="G15" s="132"/>
      <c r="H15" s="133" t="s">
        <v>72</v>
      </c>
      <c r="I15" s="134">
        <f>I14*3</f>
        <v>120</v>
      </c>
      <c r="J15" s="134">
        <f>K15*1.5</f>
        <v>36</v>
      </c>
      <c r="K15" s="134">
        <f t="shared" ref="K15:K18" si="0">I15/5</f>
        <v>24</v>
      </c>
      <c r="N15" s="3" t="s">
        <v>136</v>
      </c>
      <c r="P15" s="57"/>
    </row>
    <row r="16" spans="1:16" s="3" customFormat="1" ht="15.6" customHeight="1" x14ac:dyDescent="0.3">
      <c r="A16" s="182"/>
      <c r="B16" s="183"/>
      <c r="E16" s="128" t="s">
        <v>18</v>
      </c>
      <c r="F16" s="128"/>
      <c r="H16" s="99" t="s">
        <v>71</v>
      </c>
      <c r="I16" s="130">
        <f>I14*3</f>
        <v>120</v>
      </c>
      <c r="J16" s="1">
        <f>K16*1.5</f>
        <v>36</v>
      </c>
      <c r="K16" s="1">
        <f t="shared" si="0"/>
        <v>24</v>
      </c>
      <c r="N16" s="3" t="s">
        <v>152</v>
      </c>
      <c r="P16" s="57"/>
    </row>
    <row r="17" spans="1:21" s="3" customFormat="1" ht="15.6" customHeight="1" x14ac:dyDescent="0.3">
      <c r="A17" s="66" t="s">
        <v>207</v>
      </c>
      <c r="B17" s="135"/>
      <c r="E17" s="131" t="s">
        <v>35</v>
      </c>
      <c r="F17" s="131"/>
      <c r="G17" s="132"/>
      <c r="H17" s="133" t="s">
        <v>71</v>
      </c>
      <c r="I17" s="134">
        <f>I14/2</f>
        <v>20</v>
      </c>
      <c r="J17" s="134">
        <f>K17*1.5</f>
        <v>6</v>
      </c>
      <c r="K17" s="134">
        <f t="shared" si="0"/>
        <v>4</v>
      </c>
      <c r="N17" s="3" t="s">
        <v>60</v>
      </c>
      <c r="P17" s="57"/>
    </row>
    <row r="18" spans="1:21" s="3" customFormat="1" ht="15.6" customHeight="1" x14ac:dyDescent="0.3">
      <c r="A18" s="66" t="s">
        <v>96</v>
      </c>
      <c r="B18" s="136"/>
      <c r="E18" s="128" t="s">
        <v>36</v>
      </c>
      <c r="F18" s="128"/>
      <c r="H18" s="99" t="s">
        <v>71</v>
      </c>
      <c r="I18" s="130">
        <f>I14/2</f>
        <v>20</v>
      </c>
      <c r="J18" s="1">
        <f>K18*1.5</f>
        <v>6</v>
      </c>
      <c r="K18" s="1">
        <f t="shared" si="0"/>
        <v>4</v>
      </c>
      <c r="N18" s="3" t="s">
        <v>153</v>
      </c>
      <c r="P18" s="57"/>
    </row>
    <row r="19" spans="1:21" s="3" customFormat="1" ht="15.6" customHeight="1" x14ac:dyDescent="0.3">
      <c r="A19" s="67"/>
      <c r="B19" s="27"/>
      <c r="E19" s="131" t="s">
        <v>22</v>
      </c>
      <c r="F19" s="131"/>
      <c r="G19" s="132"/>
      <c r="H19" s="133" t="s">
        <v>73</v>
      </c>
      <c r="I19" s="137" t="s">
        <v>134</v>
      </c>
      <c r="J19" s="137" t="s">
        <v>133</v>
      </c>
      <c r="K19" s="137"/>
      <c r="N19" s="3" t="s">
        <v>154</v>
      </c>
      <c r="P19" s="57"/>
    </row>
    <row r="20" spans="1:21" s="3" customFormat="1" ht="15.6" customHeight="1" x14ac:dyDescent="0.3">
      <c r="A20" s="68" t="s">
        <v>241</v>
      </c>
      <c r="B20" s="42"/>
      <c r="N20" s="186" t="s">
        <v>120</v>
      </c>
      <c r="O20" s="186"/>
      <c r="P20" s="187"/>
    </row>
    <row r="21" spans="1:21" s="3" customFormat="1" ht="15.6" customHeight="1" x14ac:dyDescent="0.3">
      <c r="A21" s="67" t="s">
        <v>242</v>
      </c>
      <c r="B21" s="28"/>
      <c r="E21" s="138" t="str">
        <f>'Cleric A'!E21</f>
        <v>Carica, Ritirata difensiva, Difesa totale</v>
      </c>
      <c r="O21" s="169"/>
      <c r="P21" s="69"/>
    </row>
    <row r="22" spans="1:21" ht="15.6" customHeight="1" x14ac:dyDescent="0.3">
      <c r="A22" s="70" t="s">
        <v>243</v>
      </c>
      <c r="B22" s="43"/>
      <c r="E22" s="138" t="str">
        <f>'Cleric A'!E22</f>
        <v>Spinta, Disarmo, Parare (F), Colpo potente (F)</v>
      </c>
      <c r="N22" s="139"/>
      <c r="O22" s="139" t="s">
        <v>46</v>
      </c>
      <c r="P22" s="71">
        <v>9</v>
      </c>
      <c r="U22" s="25"/>
    </row>
    <row r="23" spans="1:21" ht="15.6" customHeight="1" x14ac:dyDescent="0.3">
      <c r="A23" s="67" t="s">
        <v>244</v>
      </c>
      <c r="B23" s="28"/>
      <c r="E23" s="138" t="str">
        <f>'Cleric A'!E23</f>
        <v>Afferrrare, Liberarsi da presa, Azione Pronta</v>
      </c>
      <c r="M23" s="128"/>
      <c r="N23" s="140"/>
      <c r="O23" s="28"/>
      <c r="P23" s="72"/>
      <c r="U23" s="27"/>
    </row>
    <row r="24" spans="1:21" ht="15.6" customHeight="1" x14ac:dyDescent="0.3">
      <c r="A24" s="70" t="s">
        <v>245</v>
      </c>
      <c r="B24" s="43"/>
      <c r="E24" s="138" t="str">
        <f>'Cleric A'!E24</f>
        <v xml:space="preserve">Attraversare alleati ©, Passare posizione © , </v>
      </c>
      <c r="M24" s="128"/>
      <c r="N24" s="41"/>
      <c r="O24" s="41" t="s">
        <v>236</v>
      </c>
      <c r="P24" s="73" t="s">
        <v>237</v>
      </c>
      <c r="T24" s="25"/>
      <c r="U24" s="25"/>
    </row>
    <row r="25" spans="1:21" ht="15.6" customHeight="1" x14ac:dyDescent="0.3">
      <c r="A25" s="67" t="s">
        <v>246</v>
      </c>
      <c r="B25" s="28"/>
      <c r="E25" s="138" t="str">
        <f>'Cleric A'!E25</f>
        <v>Azione pronta, Preparare per carica</v>
      </c>
      <c r="N25" s="141" t="s">
        <v>42</v>
      </c>
      <c r="O25" s="28"/>
      <c r="P25" s="74"/>
      <c r="T25" s="25"/>
      <c r="U25" s="25"/>
    </row>
    <row r="26" spans="1:21" ht="15.6" customHeight="1" x14ac:dyDescent="0.3">
      <c r="A26" s="70" t="s">
        <v>79</v>
      </c>
      <c r="B26" s="43"/>
      <c r="E26" s="138" t="str">
        <f>'Cleric A'!E26</f>
        <v>Prone: +2 TxC nemici, metà mov per alzarsi</v>
      </c>
      <c r="N26" s="141" t="s">
        <v>39</v>
      </c>
      <c r="O26" s="28"/>
      <c r="P26" s="74">
        <v>500</v>
      </c>
      <c r="T26" s="28"/>
      <c r="U26" s="28"/>
    </row>
    <row r="27" spans="1:21" ht="15.6" customHeight="1" x14ac:dyDescent="0.3">
      <c r="A27" s="75" t="s">
        <v>247</v>
      </c>
      <c r="B27" s="23"/>
      <c r="E27" s="138" t="str">
        <f>'Cleric A'!E27</f>
        <v>Copertura: Parziale -2 TxC | Quasi Totale -4 TxC</v>
      </c>
      <c r="N27" s="141" t="s">
        <v>43</v>
      </c>
      <c r="O27" s="28"/>
      <c r="P27" s="74"/>
      <c r="T27" s="28"/>
      <c r="U27" s="28"/>
    </row>
    <row r="28" spans="1:21" ht="15.6" customHeight="1" x14ac:dyDescent="0.3">
      <c r="A28" s="63"/>
      <c r="E28" s="138" t="str">
        <f>'Cleric A'!E28</f>
        <v>Tiro oltre 1* alleato: -2 TxC, 1 Colpito Alleato</v>
      </c>
      <c r="G28" s="130"/>
      <c r="I28" s="130"/>
      <c r="N28" s="141" t="s">
        <v>40</v>
      </c>
      <c r="O28" s="28"/>
      <c r="P28" s="74"/>
      <c r="T28" s="28"/>
      <c r="U28" s="28"/>
    </row>
    <row r="29" spans="1:21" ht="15.6" customHeight="1" x14ac:dyDescent="0.3">
      <c r="A29" s="56" t="s">
        <v>157</v>
      </c>
      <c r="C29" s="170">
        <v>0.45</v>
      </c>
      <c r="E29" s="138" t="str">
        <f>'Cleric A'!E29</f>
        <v>Distanza:   corta +1, lunga -1</v>
      </c>
      <c r="N29" s="144"/>
      <c r="O29" s="139" t="s">
        <v>46</v>
      </c>
      <c r="P29" s="71">
        <v>5</v>
      </c>
      <c r="T29" s="28"/>
      <c r="U29" s="28"/>
    </row>
    <row r="30" spans="1:21" x14ac:dyDescent="0.3">
      <c r="A30" s="56" t="s">
        <v>162</v>
      </c>
      <c r="C30" s="170">
        <v>0.4</v>
      </c>
      <c r="E30" s="138" t="str">
        <f>'Cleric A'!E30</f>
        <v>Copertura vs area: Parz. +2 TS, Quasi tot. +4 TS</v>
      </c>
      <c r="P30" s="62"/>
      <c r="T30" s="28"/>
      <c r="U30" s="28"/>
    </row>
    <row r="31" spans="1:21" ht="15.6" customHeight="1" x14ac:dyDescent="0.3">
      <c r="A31" s="76" t="s">
        <v>158</v>
      </c>
      <c r="B31" s="166"/>
      <c r="C31" s="170">
        <v>0.45</v>
      </c>
      <c r="E31" s="138"/>
      <c r="P31" s="62"/>
      <c r="T31" s="28"/>
      <c r="U31" s="28"/>
    </row>
    <row r="32" spans="1:21" x14ac:dyDescent="0.3">
      <c r="A32" s="76" t="s">
        <v>159</v>
      </c>
      <c r="B32" s="5"/>
      <c r="C32" s="170">
        <v>0.45</v>
      </c>
      <c r="E32" s="138"/>
      <c r="N32" s="29" t="s">
        <v>29</v>
      </c>
      <c r="O32" s="31"/>
      <c r="P32" s="59"/>
    </row>
    <row r="33" spans="1:27" x14ac:dyDescent="0.3">
      <c r="A33" s="76" t="s">
        <v>160</v>
      </c>
      <c r="B33" s="5"/>
      <c r="C33" s="170">
        <v>0.92</v>
      </c>
      <c r="E33" s="138"/>
      <c r="N33" s="2" t="s">
        <v>54</v>
      </c>
      <c r="P33" s="62"/>
    </row>
    <row r="34" spans="1:27" x14ac:dyDescent="0.3">
      <c r="A34" s="76" t="s">
        <v>161</v>
      </c>
      <c r="B34" s="5"/>
      <c r="C34" s="170">
        <v>0.36</v>
      </c>
      <c r="N34" s="2" t="s">
        <v>155</v>
      </c>
      <c r="P34" s="62"/>
    </row>
    <row r="35" spans="1:27" x14ac:dyDescent="0.3">
      <c r="A35" s="76" t="s">
        <v>163</v>
      </c>
      <c r="B35" s="5"/>
      <c r="C35" s="170">
        <v>0.8</v>
      </c>
      <c r="E35" s="171" t="s">
        <v>164</v>
      </c>
      <c r="N35" s="2" t="s">
        <v>156</v>
      </c>
      <c r="P35" s="62"/>
    </row>
    <row r="36" spans="1:27" x14ac:dyDescent="0.3">
      <c r="A36" s="63"/>
      <c r="L36" s="145" t="s">
        <v>206</v>
      </c>
      <c r="P36" s="62"/>
    </row>
    <row r="37" spans="1:27" ht="15.6" x14ac:dyDescent="0.3">
      <c r="A37" s="78" t="s">
        <v>15</v>
      </c>
      <c r="B37" s="26" t="s">
        <v>19</v>
      </c>
      <c r="C37" s="33" t="s">
        <v>20</v>
      </c>
      <c r="D37" s="4">
        <v>8</v>
      </c>
      <c r="E37" s="33">
        <f>D37-1</f>
        <v>7</v>
      </c>
      <c r="F37" s="4">
        <f t="shared" ref="F37:L37" si="1">E37-1</f>
        <v>6</v>
      </c>
      <c r="G37" s="33">
        <f t="shared" si="1"/>
        <v>5</v>
      </c>
      <c r="H37" s="4">
        <f t="shared" si="1"/>
        <v>4</v>
      </c>
      <c r="I37" s="33">
        <f t="shared" si="1"/>
        <v>3</v>
      </c>
      <c r="J37" s="4">
        <f t="shared" si="1"/>
        <v>2</v>
      </c>
      <c r="K37" s="33">
        <f t="shared" si="1"/>
        <v>1</v>
      </c>
      <c r="L37" s="4">
        <f t="shared" si="1"/>
        <v>0</v>
      </c>
      <c r="M37" s="188" t="s">
        <v>26</v>
      </c>
      <c r="N37" s="188"/>
      <c r="O37" s="29" t="s">
        <v>27</v>
      </c>
      <c r="P37" s="59"/>
    </row>
    <row r="38" spans="1:27" ht="18" x14ac:dyDescent="0.3">
      <c r="A38" s="77" t="s">
        <v>148</v>
      </c>
      <c r="B38" s="1" t="s">
        <v>23</v>
      </c>
      <c r="C38" s="146">
        <v>8</v>
      </c>
      <c r="D38" s="147">
        <f>C38+1</f>
        <v>9</v>
      </c>
      <c r="E38" s="146">
        <f t="shared" ref="E38:L38" si="2">D38+1</f>
        <v>10</v>
      </c>
      <c r="F38" s="147">
        <f t="shared" si="2"/>
        <v>11</v>
      </c>
      <c r="G38" s="146">
        <f t="shared" si="2"/>
        <v>12</v>
      </c>
      <c r="H38" s="147">
        <f t="shared" si="2"/>
        <v>13</v>
      </c>
      <c r="I38" s="146">
        <f t="shared" si="2"/>
        <v>14</v>
      </c>
      <c r="J38" s="147">
        <f t="shared" si="2"/>
        <v>15</v>
      </c>
      <c r="K38" s="146">
        <f t="shared" si="2"/>
        <v>16</v>
      </c>
      <c r="L38" s="147">
        <f t="shared" si="2"/>
        <v>17</v>
      </c>
      <c r="M38" s="189" t="s">
        <v>82</v>
      </c>
      <c r="N38" s="189"/>
      <c r="P38" s="62"/>
    </row>
    <row r="39" spans="1:27" ht="18" x14ac:dyDescent="0.3">
      <c r="A39" s="77" t="s">
        <v>24</v>
      </c>
      <c r="B39" s="1" t="s">
        <v>23</v>
      </c>
      <c r="C39" s="146">
        <v>8</v>
      </c>
      <c r="D39" s="147">
        <f t="shared" ref="D39:L40" si="3">C39+1</f>
        <v>9</v>
      </c>
      <c r="E39" s="146">
        <f t="shared" si="3"/>
        <v>10</v>
      </c>
      <c r="F39" s="147">
        <f t="shared" si="3"/>
        <v>11</v>
      </c>
      <c r="G39" s="146">
        <f t="shared" si="3"/>
        <v>12</v>
      </c>
      <c r="H39" s="147">
        <f t="shared" si="3"/>
        <v>13</v>
      </c>
      <c r="I39" s="146">
        <f t="shared" si="3"/>
        <v>14</v>
      </c>
      <c r="J39" s="147">
        <f t="shared" si="3"/>
        <v>15</v>
      </c>
      <c r="K39" s="146">
        <f t="shared" si="3"/>
        <v>16</v>
      </c>
      <c r="L39" s="147">
        <f t="shared" si="3"/>
        <v>17</v>
      </c>
      <c r="M39" s="190" t="s">
        <v>84</v>
      </c>
      <c r="N39" s="190"/>
      <c r="O39" s="3" t="s">
        <v>118</v>
      </c>
      <c r="P39" s="62"/>
      <c r="AA39"/>
    </row>
    <row r="40" spans="1:27" ht="18.600000000000001" thickBot="1" x14ac:dyDescent="0.35">
      <c r="A40" s="79" t="s">
        <v>149</v>
      </c>
      <c r="B40" s="80" t="s">
        <v>150</v>
      </c>
      <c r="C40" s="81">
        <v>6</v>
      </c>
      <c r="D40" s="82">
        <f t="shared" si="3"/>
        <v>7</v>
      </c>
      <c r="E40" s="81">
        <f t="shared" si="3"/>
        <v>8</v>
      </c>
      <c r="F40" s="82">
        <f t="shared" si="3"/>
        <v>9</v>
      </c>
      <c r="G40" s="81">
        <f t="shared" si="3"/>
        <v>10</v>
      </c>
      <c r="H40" s="82">
        <f t="shared" si="3"/>
        <v>11</v>
      </c>
      <c r="I40" s="81">
        <f t="shared" si="3"/>
        <v>12</v>
      </c>
      <c r="J40" s="82">
        <f t="shared" si="3"/>
        <v>13</v>
      </c>
      <c r="K40" s="81">
        <f t="shared" si="3"/>
        <v>14</v>
      </c>
      <c r="L40" s="82">
        <f t="shared" si="3"/>
        <v>15</v>
      </c>
      <c r="M40" s="191" t="s">
        <v>28</v>
      </c>
      <c r="N40" s="191"/>
      <c r="O40" s="83" t="s">
        <v>119</v>
      </c>
      <c r="P40" s="84"/>
    </row>
  </sheetData>
  <mergeCells count="17">
    <mergeCell ref="N20:P20"/>
    <mergeCell ref="M37:N37"/>
    <mergeCell ref="M38:N38"/>
    <mergeCell ref="M39:N39"/>
    <mergeCell ref="M40:N40"/>
    <mergeCell ref="C6:I6"/>
    <mergeCell ref="M6:O6"/>
    <mergeCell ref="C7:I7"/>
    <mergeCell ref="M7:O7"/>
    <mergeCell ref="C8:I8"/>
    <mergeCell ref="M8:O8"/>
    <mergeCell ref="A14:B16"/>
    <mergeCell ref="C9:I9"/>
    <mergeCell ref="M9:O9"/>
    <mergeCell ref="C10:I10"/>
    <mergeCell ref="M10:O10"/>
    <mergeCell ref="C11:I11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66C9D-052A-4A0F-9F62-A1EE62475AEE}">
  <dimension ref="A1:AA40"/>
  <sheetViews>
    <sheetView zoomScale="120" zoomScaleNormal="120" workbookViewId="0">
      <selection activeCell="H46" sqref="H46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44" t="s">
        <v>0</v>
      </c>
      <c r="B1" s="45" t="s">
        <v>126</v>
      </c>
      <c r="C1" s="45"/>
      <c r="D1" s="46"/>
      <c r="E1" s="47"/>
      <c r="F1" s="48"/>
      <c r="G1" s="49" t="s">
        <v>144</v>
      </c>
      <c r="H1" s="45"/>
      <c r="I1" s="48"/>
      <c r="J1" s="50"/>
      <c r="K1" s="51" t="s">
        <v>34</v>
      </c>
      <c r="L1" s="46"/>
      <c r="M1" s="46"/>
      <c r="N1" s="52" t="s">
        <v>95</v>
      </c>
      <c r="O1" s="45"/>
      <c r="P1" s="53"/>
    </row>
    <row r="2" spans="1:16" ht="20.399999999999999" customHeight="1" x14ac:dyDescent="0.3">
      <c r="A2" s="54" t="s">
        <v>94</v>
      </c>
      <c r="B2" s="35" t="s">
        <v>75</v>
      </c>
      <c r="C2" s="35"/>
      <c r="D2" s="117"/>
      <c r="E2" s="36" t="s">
        <v>33</v>
      </c>
      <c r="F2" s="37"/>
      <c r="G2" s="37" t="s">
        <v>127</v>
      </c>
      <c r="H2" s="37"/>
      <c r="I2" s="38" t="s">
        <v>128</v>
      </c>
      <c r="J2" s="117"/>
      <c r="K2" s="118" t="s">
        <v>1</v>
      </c>
      <c r="L2" s="119"/>
      <c r="M2" s="119"/>
      <c r="N2" s="35" t="s">
        <v>50</v>
      </c>
      <c r="O2" s="35"/>
      <c r="P2" s="55"/>
    </row>
    <row r="3" spans="1:16" ht="9.6" customHeight="1" x14ac:dyDescent="0.3">
      <c r="A3" s="56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57"/>
    </row>
    <row r="4" spans="1:16" ht="18.600000000000001" customHeight="1" x14ac:dyDescent="0.3">
      <c r="A4" s="87" t="s">
        <v>8</v>
      </c>
      <c r="B4" s="120">
        <v>9</v>
      </c>
      <c r="C4" s="1"/>
      <c r="E4" s="121" t="s">
        <v>46</v>
      </c>
      <c r="F4" s="122">
        <v>18</v>
      </c>
      <c r="G4" s="168" t="s">
        <v>264</v>
      </c>
      <c r="H4" s="1"/>
      <c r="I4" s="1"/>
      <c r="J4" s="124"/>
      <c r="L4" s="125" t="s">
        <v>93</v>
      </c>
      <c r="M4" s="122">
        <v>0</v>
      </c>
      <c r="N4" s="1"/>
      <c r="O4" s="121" t="s">
        <v>9</v>
      </c>
      <c r="P4" s="88">
        <v>21</v>
      </c>
    </row>
    <row r="5" spans="1:16" ht="19.8" customHeight="1" x14ac:dyDescent="0.3">
      <c r="A5" s="58" t="s">
        <v>29</v>
      </c>
      <c r="B5" s="32"/>
      <c r="J5" s="2" t="s">
        <v>92</v>
      </c>
      <c r="M5" s="32" t="s">
        <v>10</v>
      </c>
      <c r="N5" s="31"/>
      <c r="O5" s="31"/>
      <c r="P5" s="59"/>
    </row>
    <row r="6" spans="1:16" ht="32.4" customHeight="1" x14ac:dyDescent="0.3">
      <c r="A6" s="60">
        <v>8</v>
      </c>
      <c r="B6" s="126" t="s">
        <v>2</v>
      </c>
      <c r="C6" s="184" t="s">
        <v>129</v>
      </c>
      <c r="D6" s="184"/>
      <c r="E6" s="184"/>
      <c r="F6" s="184"/>
      <c r="G6" s="184"/>
      <c r="H6" s="184"/>
      <c r="I6" s="184"/>
      <c r="J6" s="127">
        <v>-1</v>
      </c>
      <c r="K6" s="127"/>
      <c r="M6" s="185" t="s">
        <v>51</v>
      </c>
      <c r="N6" s="185"/>
      <c r="O6" s="185"/>
      <c r="P6" s="61">
        <v>13</v>
      </c>
    </row>
    <row r="7" spans="1:16" ht="32.4" customHeight="1" x14ac:dyDescent="0.3">
      <c r="A7" s="60">
        <v>10</v>
      </c>
      <c r="B7" s="126" t="s">
        <v>3</v>
      </c>
      <c r="C7" s="184" t="s">
        <v>87</v>
      </c>
      <c r="D7" s="184"/>
      <c r="E7" s="184"/>
      <c r="F7" s="184"/>
      <c r="G7" s="184"/>
      <c r="H7" s="184"/>
      <c r="I7" s="184"/>
      <c r="J7" s="127">
        <v>0</v>
      </c>
      <c r="K7" s="127"/>
      <c r="M7" s="185" t="s">
        <v>11</v>
      </c>
      <c r="N7" s="185"/>
      <c r="O7" s="185"/>
      <c r="P7" s="61">
        <v>14</v>
      </c>
    </row>
    <row r="8" spans="1:16" ht="32.4" customHeight="1" x14ac:dyDescent="0.3">
      <c r="A8" s="60">
        <v>13</v>
      </c>
      <c r="B8" s="126" t="s">
        <v>4</v>
      </c>
      <c r="C8" s="184" t="s">
        <v>130</v>
      </c>
      <c r="D8" s="184"/>
      <c r="E8" s="184"/>
      <c r="F8" s="184"/>
      <c r="G8" s="184"/>
      <c r="H8" s="184"/>
      <c r="I8" s="184"/>
      <c r="J8" s="127">
        <v>1</v>
      </c>
      <c r="K8" s="127"/>
      <c r="M8" s="185" t="s">
        <v>14</v>
      </c>
      <c r="N8" s="185"/>
      <c r="O8" s="185"/>
      <c r="P8" s="61">
        <v>13</v>
      </c>
    </row>
    <row r="9" spans="1:16" ht="32.4" customHeight="1" x14ac:dyDescent="0.3">
      <c r="A9" s="60">
        <v>16</v>
      </c>
      <c r="B9" s="126" t="s">
        <v>5</v>
      </c>
      <c r="C9" s="184" t="s">
        <v>131</v>
      </c>
      <c r="D9" s="184"/>
      <c r="E9" s="184"/>
      <c r="F9" s="184"/>
      <c r="G9" s="184"/>
      <c r="H9" s="184"/>
      <c r="I9" s="184"/>
      <c r="J9" s="127">
        <v>2</v>
      </c>
      <c r="K9" s="127"/>
      <c r="M9" s="185" t="s">
        <v>12</v>
      </c>
      <c r="N9" s="185"/>
      <c r="O9" s="185"/>
      <c r="P9" s="61">
        <v>16</v>
      </c>
    </row>
    <row r="10" spans="1:16" ht="32.4" customHeight="1" x14ac:dyDescent="0.3">
      <c r="A10" s="60">
        <v>9</v>
      </c>
      <c r="B10" s="126" t="s">
        <v>6</v>
      </c>
      <c r="C10" s="184" t="s">
        <v>87</v>
      </c>
      <c r="D10" s="184"/>
      <c r="E10" s="184"/>
      <c r="F10" s="184"/>
      <c r="G10" s="184"/>
      <c r="H10" s="184"/>
      <c r="I10" s="184"/>
      <c r="J10" s="127">
        <v>0</v>
      </c>
      <c r="K10" s="127"/>
      <c r="M10" s="185" t="s">
        <v>13</v>
      </c>
      <c r="N10" s="185"/>
      <c r="O10" s="185"/>
      <c r="P10" s="61">
        <v>15</v>
      </c>
    </row>
    <row r="11" spans="1:16" ht="32.4" customHeight="1" x14ac:dyDescent="0.3">
      <c r="A11" s="60">
        <v>8</v>
      </c>
      <c r="B11" s="126" t="s">
        <v>7</v>
      </c>
      <c r="C11" s="184" t="s">
        <v>132</v>
      </c>
      <c r="D11" s="184"/>
      <c r="E11" s="184"/>
      <c r="F11" s="184"/>
      <c r="G11" s="184"/>
      <c r="H11" s="184"/>
      <c r="I11" s="184"/>
      <c r="J11" s="127">
        <v>-1</v>
      </c>
      <c r="K11" s="127"/>
      <c r="P11" s="116" t="str">
        <f>'Cleric A'!P11</f>
        <v>TS: tiro ≥ valore = successo</v>
      </c>
    </row>
    <row r="12" spans="1:16" ht="8.4" customHeight="1" x14ac:dyDescent="0.3">
      <c r="A12" s="63"/>
      <c r="P12" s="62"/>
    </row>
    <row r="13" spans="1:16" s="3" customFormat="1" ht="15.6" customHeight="1" x14ac:dyDescent="0.3">
      <c r="A13" s="64" t="s">
        <v>16</v>
      </c>
      <c r="B13" s="29"/>
      <c r="C13" s="128"/>
      <c r="E13" s="29" t="s">
        <v>17</v>
      </c>
      <c r="F13" s="29"/>
      <c r="G13" s="29"/>
      <c r="H13" s="128"/>
      <c r="I13" s="129" t="s">
        <v>66</v>
      </c>
      <c r="J13" s="129" t="s">
        <v>67</v>
      </c>
      <c r="K13" s="129" t="s">
        <v>68</v>
      </c>
      <c r="N13" s="29" t="s">
        <v>56</v>
      </c>
      <c r="O13" s="30"/>
      <c r="P13" s="65"/>
    </row>
    <row r="14" spans="1:16" s="3" customFormat="1" ht="15.6" customHeight="1" x14ac:dyDescent="0.3">
      <c r="A14" s="180" t="s">
        <v>172</v>
      </c>
      <c r="B14" s="181"/>
      <c r="E14" s="128" t="s">
        <v>21</v>
      </c>
      <c r="F14" s="128"/>
      <c r="H14" s="99" t="s">
        <v>71</v>
      </c>
      <c r="I14" s="130">
        <v>40</v>
      </c>
      <c r="J14" s="1">
        <f>K14*1.5</f>
        <v>12</v>
      </c>
      <c r="K14" s="1">
        <f>I14/5</f>
        <v>8</v>
      </c>
      <c r="N14" s="3" t="s">
        <v>135</v>
      </c>
      <c r="P14" s="57"/>
    </row>
    <row r="15" spans="1:16" s="3" customFormat="1" ht="15.6" customHeight="1" x14ac:dyDescent="0.3">
      <c r="A15" s="182"/>
      <c r="B15" s="183"/>
      <c r="E15" s="131" t="s">
        <v>37</v>
      </c>
      <c r="F15" s="131"/>
      <c r="G15" s="132"/>
      <c r="H15" s="133" t="s">
        <v>72</v>
      </c>
      <c r="I15" s="134">
        <f>I14*3</f>
        <v>120</v>
      </c>
      <c r="J15" s="134">
        <f>K15*1.5</f>
        <v>36</v>
      </c>
      <c r="K15" s="134">
        <f t="shared" ref="K15:K18" si="0">I15/5</f>
        <v>24</v>
      </c>
      <c r="N15" s="3" t="s">
        <v>136</v>
      </c>
      <c r="P15" s="57"/>
    </row>
    <row r="16" spans="1:16" s="3" customFormat="1" ht="15.6" customHeight="1" x14ac:dyDescent="0.3">
      <c r="A16" s="182"/>
      <c r="B16" s="183"/>
      <c r="E16" s="128" t="s">
        <v>18</v>
      </c>
      <c r="F16" s="128"/>
      <c r="H16" s="99" t="s">
        <v>71</v>
      </c>
      <c r="I16" s="130">
        <f>I14*3</f>
        <v>120</v>
      </c>
      <c r="J16" s="1">
        <f>K16*1.5</f>
        <v>36</v>
      </c>
      <c r="K16" s="1">
        <f t="shared" si="0"/>
        <v>24</v>
      </c>
      <c r="N16" s="3" t="s">
        <v>60</v>
      </c>
      <c r="P16" s="57"/>
    </row>
    <row r="17" spans="1:16" s="3" customFormat="1" ht="15.6" customHeight="1" x14ac:dyDescent="0.3">
      <c r="A17" s="66" t="s">
        <v>207</v>
      </c>
      <c r="B17" s="135"/>
      <c r="E17" s="131" t="s">
        <v>35</v>
      </c>
      <c r="F17" s="131"/>
      <c r="G17" s="132"/>
      <c r="H17" s="133" t="s">
        <v>71</v>
      </c>
      <c r="I17" s="134">
        <f>I14/2</f>
        <v>20</v>
      </c>
      <c r="J17" s="134">
        <f>K17*1.5</f>
        <v>6</v>
      </c>
      <c r="K17" s="134">
        <f t="shared" si="0"/>
        <v>4</v>
      </c>
      <c r="N17" s="3" t="s">
        <v>137</v>
      </c>
      <c r="P17" s="57"/>
    </row>
    <row r="18" spans="1:16" s="3" customFormat="1" ht="15.6" customHeight="1" x14ac:dyDescent="0.3">
      <c r="A18" s="66" t="s">
        <v>96</v>
      </c>
      <c r="B18" s="136"/>
      <c r="E18" s="128" t="s">
        <v>36</v>
      </c>
      <c r="F18" s="128"/>
      <c r="H18" s="99" t="s">
        <v>71</v>
      </c>
      <c r="I18" s="130">
        <f>I14/2</f>
        <v>20</v>
      </c>
      <c r="J18" s="1">
        <f>K18*1.5</f>
        <v>6</v>
      </c>
      <c r="K18" s="1">
        <f t="shared" si="0"/>
        <v>4</v>
      </c>
      <c r="P18" s="57"/>
    </row>
    <row r="19" spans="1:16" s="3" customFormat="1" ht="15.6" customHeight="1" x14ac:dyDescent="0.3">
      <c r="A19" s="67"/>
      <c r="B19" s="27"/>
      <c r="E19" s="131" t="s">
        <v>22</v>
      </c>
      <c r="F19" s="131"/>
      <c r="G19" s="132"/>
      <c r="H19" s="133" t="s">
        <v>73</v>
      </c>
      <c r="I19" s="137" t="s">
        <v>134</v>
      </c>
      <c r="J19" s="137" t="s">
        <v>133</v>
      </c>
      <c r="K19" s="137"/>
      <c r="P19" s="57"/>
    </row>
    <row r="20" spans="1:16" s="3" customFormat="1" ht="15.6" customHeight="1" x14ac:dyDescent="0.3">
      <c r="A20" s="68" t="s">
        <v>241</v>
      </c>
      <c r="B20" s="42"/>
      <c r="N20" s="186"/>
      <c r="O20" s="186"/>
      <c r="P20" s="187"/>
    </row>
    <row r="21" spans="1:16" s="3" customFormat="1" ht="15.6" customHeight="1" x14ac:dyDescent="0.3">
      <c r="A21" s="67" t="s">
        <v>242</v>
      </c>
      <c r="B21" s="28"/>
      <c r="E21" s="138" t="str">
        <f>'Cleric A'!E21</f>
        <v>Carica, Ritirata difensiva, Difesa totale</v>
      </c>
      <c r="O21" s="169"/>
      <c r="P21" s="69"/>
    </row>
    <row r="22" spans="1:16" ht="15.6" customHeight="1" x14ac:dyDescent="0.3">
      <c r="A22" s="70" t="s">
        <v>243</v>
      </c>
      <c r="B22" s="43"/>
      <c r="E22" s="138" t="str">
        <f>'Cleric A'!E22</f>
        <v>Spinta, Disarmo, Parare (F), Colpo potente (F)</v>
      </c>
      <c r="N22" s="139"/>
      <c r="O22" s="139" t="s">
        <v>46</v>
      </c>
      <c r="P22" s="71">
        <v>4</v>
      </c>
    </row>
    <row r="23" spans="1:16" ht="15.6" customHeight="1" x14ac:dyDescent="0.3">
      <c r="A23" s="67" t="s">
        <v>244</v>
      </c>
      <c r="B23" s="28"/>
      <c r="E23" s="138" t="str">
        <f>'Cleric A'!E23</f>
        <v>Afferrrare, Liberarsi da presa, Azione Pronta</v>
      </c>
      <c r="M23" s="128"/>
      <c r="N23" s="140"/>
      <c r="O23" s="28"/>
      <c r="P23" s="72"/>
    </row>
    <row r="24" spans="1:16" ht="15.6" customHeight="1" x14ac:dyDescent="0.3">
      <c r="A24" s="70" t="s">
        <v>245</v>
      </c>
      <c r="B24" s="43"/>
      <c r="E24" s="138" t="str">
        <f>'Cleric A'!E24</f>
        <v xml:space="preserve">Attraversare alleati ©, Passare posizione © , </v>
      </c>
      <c r="M24" s="128"/>
      <c r="N24" s="41"/>
      <c r="O24" s="41" t="s">
        <v>236</v>
      </c>
      <c r="P24" s="73" t="s">
        <v>237</v>
      </c>
    </row>
    <row r="25" spans="1:16" ht="15.6" customHeight="1" x14ac:dyDescent="0.3">
      <c r="A25" s="67" t="s">
        <v>246</v>
      </c>
      <c r="B25" s="28"/>
      <c r="E25" s="138" t="str">
        <f>'Cleric A'!E25</f>
        <v>Azione pronta, Preparare per carica</v>
      </c>
      <c r="N25" s="141" t="s">
        <v>42</v>
      </c>
      <c r="O25" s="28"/>
      <c r="P25" s="74"/>
    </row>
    <row r="26" spans="1:16" ht="15.6" customHeight="1" x14ac:dyDescent="0.3">
      <c r="A26" s="70" t="s">
        <v>79</v>
      </c>
      <c r="B26" s="43"/>
      <c r="E26" s="138" t="str">
        <f>'Cleric A'!E26</f>
        <v>Prone: +2 TxC nemici, metà mov per alzarsi</v>
      </c>
      <c r="N26" s="141" t="s">
        <v>39</v>
      </c>
      <c r="O26" s="28"/>
      <c r="P26" s="74">
        <v>500</v>
      </c>
    </row>
    <row r="27" spans="1:16" ht="15.6" customHeight="1" x14ac:dyDescent="0.3">
      <c r="A27" s="75" t="s">
        <v>247</v>
      </c>
      <c r="B27" s="23"/>
      <c r="E27" s="138" t="str">
        <f>'Cleric A'!E27</f>
        <v>Copertura: Parziale -2 TxC | Quasi Totale -4 TxC</v>
      </c>
      <c r="N27" s="141" t="s">
        <v>43</v>
      </c>
      <c r="O27" s="28"/>
      <c r="P27" s="74"/>
    </row>
    <row r="28" spans="1:16" ht="15.6" customHeight="1" x14ac:dyDescent="0.3">
      <c r="A28" s="63"/>
      <c r="E28" s="138" t="str">
        <f>'Cleric A'!E28</f>
        <v>Tiro oltre 1* alleato: -2 TxC, 1 Colpito Alleato</v>
      </c>
      <c r="N28" s="141" t="s">
        <v>40</v>
      </c>
      <c r="O28" s="28"/>
      <c r="P28" s="74"/>
    </row>
    <row r="29" spans="1:16" ht="15.6" customHeight="1" x14ac:dyDescent="0.3">
      <c r="A29" s="75"/>
      <c r="B29" s="23"/>
      <c r="E29" s="138" t="str">
        <f>'Cleric A'!E29</f>
        <v>Distanza:   corta +1, lunga -1</v>
      </c>
      <c r="N29" s="144"/>
      <c r="O29" s="139" t="s">
        <v>46</v>
      </c>
      <c r="P29" s="71">
        <v>5</v>
      </c>
    </row>
    <row r="30" spans="1:16" x14ac:dyDescent="0.3">
      <c r="A30" s="75"/>
      <c r="B30" s="23"/>
      <c r="E30" s="138" t="str">
        <f>'Cleric A'!E30</f>
        <v>Copertura vs area: Parz. +2 TS, Quasi tot. +4 TS</v>
      </c>
      <c r="P30" s="62"/>
    </row>
    <row r="31" spans="1:16" ht="15.6" customHeight="1" x14ac:dyDescent="0.3">
      <c r="A31" s="63"/>
      <c r="P31" s="62"/>
    </row>
    <row r="32" spans="1:16" ht="15.6" x14ac:dyDescent="0.3">
      <c r="A32" s="64" t="s">
        <v>41</v>
      </c>
      <c r="B32" s="29"/>
      <c r="C32" s="34" t="s">
        <v>97</v>
      </c>
      <c r="D32" s="31"/>
      <c r="E32" s="34" t="s">
        <v>98</v>
      </c>
      <c r="F32" s="31"/>
      <c r="G32" s="34" t="s">
        <v>99</v>
      </c>
      <c r="H32" s="31"/>
      <c r="I32" s="34"/>
      <c r="J32" s="31"/>
      <c r="K32" s="31"/>
      <c r="N32" s="29" t="s">
        <v>29</v>
      </c>
      <c r="O32" s="31"/>
      <c r="P32" s="59"/>
    </row>
    <row r="33" spans="1:27" x14ac:dyDescent="0.3">
      <c r="A33" s="85" t="s">
        <v>30</v>
      </c>
      <c r="B33" s="2" t="s">
        <v>142</v>
      </c>
      <c r="N33" s="2" t="s">
        <v>54</v>
      </c>
      <c r="P33" s="62"/>
    </row>
    <row r="34" spans="1:27" x14ac:dyDescent="0.3">
      <c r="A34" s="85" t="s">
        <v>31</v>
      </c>
      <c r="B34" s="2" t="s">
        <v>143</v>
      </c>
      <c r="N34" s="2" t="s">
        <v>32</v>
      </c>
      <c r="P34" s="62"/>
    </row>
    <row r="35" spans="1:27" x14ac:dyDescent="0.3">
      <c r="A35" s="85" t="s">
        <v>38</v>
      </c>
      <c r="B35" s="2" t="s">
        <v>141</v>
      </c>
      <c r="N35" s="2" t="s">
        <v>55</v>
      </c>
      <c r="P35" s="62"/>
    </row>
    <row r="36" spans="1:27" x14ac:dyDescent="0.3">
      <c r="A36" s="63"/>
      <c r="L36" s="145" t="s">
        <v>206</v>
      </c>
      <c r="P36" s="62"/>
    </row>
    <row r="37" spans="1:27" ht="15.6" x14ac:dyDescent="0.3">
      <c r="A37" s="78" t="s">
        <v>15</v>
      </c>
      <c r="B37" s="26" t="s">
        <v>19</v>
      </c>
      <c r="C37" s="33" t="s">
        <v>20</v>
      </c>
      <c r="D37" s="4">
        <v>8</v>
      </c>
      <c r="E37" s="33">
        <f>D37-1</f>
        <v>7</v>
      </c>
      <c r="F37" s="4">
        <f t="shared" ref="F37:L37" si="1">E37-1</f>
        <v>6</v>
      </c>
      <c r="G37" s="33">
        <f t="shared" si="1"/>
        <v>5</v>
      </c>
      <c r="H37" s="4">
        <f t="shared" si="1"/>
        <v>4</v>
      </c>
      <c r="I37" s="33">
        <f t="shared" si="1"/>
        <v>3</v>
      </c>
      <c r="J37" s="4">
        <f t="shared" si="1"/>
        <v>2</v>
      </c>
      <c r="K37" s="33">
        <f t="shared" si="1"/>
        <v>1</v>
      </c>
      <c r="L37" s="4">
        <f t="shared" si="1"/>
        <v>0</v>
      </c>
      <c r="M37" s="188" t="s">
        <v>26</v>
      </c>
      <c r="N37" s="188"/>
      <c r="O37" s="29" t="s">
        <v>27</v>
      </c>
      <c r="P37" s="59"/>
    </row>
    <row r="38" spans="1:27" ht="18" x14ac:dyDescent="0.3">
      <c r="A38" s="77" t="s">
        <v>138</v>
      </c>
      <c r="B38" s="1" t="s">
        <v>23</v>
      </c>
      <c r="C38" s="146">
        <v>11</v>
      </c>
      <c r="D38" s="147">
        <f>C38+1</f>
        <v>12</v>
      </c>
      <c r="E38" s="146">
        <f t="shared" ref="E38:L38" si="2">D38+1</f>
        <v>13</v>
      </c>
      <c r="F38" s="147">
        <f t="shared" si="2"/>
        <v>14</v>
      </c>
      <c r="G38" s="146">
        <f t="shared" si="2"/>
        <v>15</v>
      </c>
      <c r="H38" s="147">
        <f t="shared" si="2"/>
        <v>16</v>
      </c>
      <c r="I38" s="146">
        <f t="shared" si="2"/>
        <v>17</v>
      </c>
      <c r="J38" s="147">
        <f t="shared" si="2"/>
        <v>18</v>
      </c>
      <c r="K38" s="146">
        <f t="shared" si="2"/>
        <v>19</v>
      </c>
      <c r="L38" s="147">
        <f t="shared" si="2"/>
        <v>20</v>
      </c>
      <c r="M38" s="189" t="s">
        <v>139</v>
      </c>
      <c r="N38" s="189"/>
      <c r="P38" s="62"/>
    </row>
    <row r="39" spans="1:27" ht="18" x14ac:dyDescent="0.3">
      <c r="A39" s="77" t="s">
        <v>24</v>
      </c>
      <c r="B39" s="1" t="s">
        <v>23</v>
      </c>
      <c r="C39" s="146">
        <v>11</v>
      </c>
      <c r="D39" s="147">
        <f t="shared" ref="D39:L40" si="3">C39+1</f>
        <v>12</v>
      </c>
      <c r="E39" s="146">
        <f t="shared" si="3"/>
        <v>13</v>
      </c>
      <c r="F39" s="147">
        <f t="shared" si="3"/>
        <v>14</v>
      </c>
      <c r="G39" s="146">
        <f t="shared" si="3"/>
        <v>15</v>
      </c>
      <c r="H39" s="147">
        <f t="shared" si="3"/>
        <v>16</v>
      </c>
      <c r="I39" s="146">
        <f t="shared" si="3"/>
        <v>17</v>
      </c>
      <c r="J39" s="147">
        <f t="shared" si="3"/>
        <v>18</v>
      </c>
      <c r="K39" s="146">
        <f t="shared" si="3"/>
        <v>19</v>
      </c>
      <c r="L39" s="147">
        <f t="shared" si="3"/>
        <v>20</v>
      </c>
      <c r="M39" s="190" t="s">
        <v>139</v>
      </c>
      <c r="N39" s="190"/>
      <c r="O39" s="3"/>
      <c r="P39" s="62"/>
      <c r="AA39"/>
    </row>
    <row r="40" spans="1:27" ht="18.600000000000001" thickBot="1" x14ac:dyDescent="0.35">
      <c r="A40" s="79" t="s">
        <v>24</v>
      </c>
      <c r="B40" s="80" t="s">
        <v>140</v>
      </c>
      <c r="C40" s="81">
        <v>10</v>
      </c>
      <c r="D40" s="82">
        <f t="shared" si="3"/>
        <v>11</v>
      </c>
      <c r="E40" s="81">
        <f t="shared" si="3"/>
        <v>12</v>
      </c>
      <c r="F40" s="82">
        <f t="shared" si="3"/>
        <v>13</v>
      </c>
      <c r="G40" s="81">
        <f t="shared" si="3"/>
        <v>14</v>
      </c>
      <c r="H40" s="82">
        <f t="shared" si="3"/>
        <v>15</v>
      </c>
      <c r="I40" s="81">
        <f t="shared" si="3"/>
        <v>16</v>
      </c>
      <c r="J40" s="82">
        <f t="shared" si="3"/>
        <v>17</v>
      </c>
      <c r="K40" s="81">
        <f t="shared" si="3"/>
        <v>18</v>
      </c>
      <c r="L40" s="82">
        <f t="shared" si="3"/>
        <v>19</v>
      </c>
      <c r="M40" s="191" t="s">
        <v>84</v>
      </c>
      <c r="N40" s="191"/>
      <c r="O40" s="83"/>
      <c r="P40" s="84"/>
    </row>
  </sheetData>
  <mergeCells count="17">
    <mergeCell ref="N20:P20"/>
    <mergeCell ref="M37:N37"/>
    <mergeCell ref="M38:N38"/>
    <mergeCell ref="M39:N39"/>
    <mergeCell ref="M40:N40"/>
    <mergeCell ref="C6:I6"/>
    <mergeCell ref="M6:O6"/>
    <mergeCell ref="C7:I7"/>
    <mergeCell ref="M7:O7"/>
    <mergeCell ref="C8:I8"/>
    <mergeCell ref="M8:O8"/>
    <mergeCell ref="A14:B16"/>
    <mergeCell ref="C9:I9"/>
    <mergeCell ref="M9:O9"/>
    <mergeCell ref="C10:I10"/>
    <mergeCell ref="M10:O10"/>
    <mergeCell ref="C11:I11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6BBBE-C9DF-4D21-98BF-29E96594E7D0}">
  <dimension ref="A1:AA40"/>
  <sheetViews>
    <sheetView topLeftCell="A13" zoomScale="120" zoomScaleNormal="120" workbookViewId="0">
      <selection activeCell="G43" sqref="G43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44" t="s">
        <v>0</v>
      </c>
      <c r="B1" s="45" t="s">
        <v>104</v>
      </c>
      <c r="C1" s="45"/>
      <c r="D1" s="46"/>
      <c r="E1" s="47"/>
      <c r="F1" s="48"/>
      <c r="G1" s="49" t="s">
        <v>121</v>
      </c>
      <c r="H1" s="45"/>
      <c r="I1" s="48"/>
      <c r="J1" s="50"/>
      <c r="K1" s="51" t="s">
        <v>34</v>
      </c>
      <c r="L1" s="46"/>
      <c r="M1" s="46"/>
      <c r="N1" s="52" t="s">
        <v>95</v>
      </c>
      <c r="O1" s="45"/>
      <c r="P1" s="53"/>
    </row>
    <row r="2" spans="1:16" ht="20.399999999999999" customHeight="1" x14ac:dyDescent="0.3">
      <c r="A2" s="54" t="s">
        <v>94</v>
      </c>
      <c r="B2" s="35" t="s">
        <v>75</v>
      </c>
      <c r="C2" s="35"/>
      <c r="D2" s="117"/>
      <c r="E2" s="36" t="s">
        <v>33</v>
      </c>
      <c r="F2" s="37"/>
      <c r="G2" s="37" t="s">
        <v>105</v>
      </c>
      <c r="H2" s="37"/>
      <c r="I2" s="38" t="s">
        <v>128</v>
      </c>
      <c r="J2" s="117"/>
      <c r="K2" s="118" t="s">
        <v>1</v>
      </c>
      <c r="L2" s="119"/>
      <c r="M2" s="119"/>
      <c r="N2" s="35" t="s">
        <v>50</v>
      </c>
      <c r="O2" s="35"/>
      <c r="P2" s="55"/>
    </row>
    <row r="3" spans="1:16" ht="9.6" customHeight="1" x14ac:dyDescent="0.3">
      <c r="A3" s="56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57"/>
    </row>
    <row r="4" spans="1:16" ht="18.600000000000001" customHeight="1" x14ac:dyDescent="0.3">
      <c r="A4" s="87" t="s">
        <v>8</v>
      </c>
      <c r="B4" s="120">
        <v>0</v>
      </c>
      <c r="C4" s="1"/>
      <c r="E4" s="164" t="s">
        <v>46</v>
      </c>
      <c r="F4" s="122">
        <v>24</v>
      </c>
      <c r="G4" s="123" t="s">
        <v>110</v>
      </c>
      <c r="H4" s="1"/>
      <c r="I4" s="1"/>
      <c r="J4" s="124"/>
      <c r="K4" s="1"/>
      <c r="L4" s="125" t="s">
        <v>93</v>
      </c>
      <c r="M4" s="122">
        <v>1</v>
      </c>
      <c r="N4" s="1"/>
      <c r="O4" s="121" t="s">
        <v>9</v>
      </c>
      <c r="P4" s="88">
        <v>35</v>
      </c>
    </row>
    <row r="5" spans="1:16" ht="19.8" customHeight="1" x14ac:dyDescent="0.3">
      <c r="A5" s="58" t="s">
        <v>29</v>
      </c>
      <c r="B5" s="32"/>
      <c r="J5" s="2" t="s">
        <v>92</v>
      </c>
      <c r="M5" s="32" t="s">
        <v>10</v>
      </c>
      <c r="N5" s="31"/>
      <c r="O5" s="31"/>
      <c r="P5" s="59"/>
    </row>
    <row r="6" spans="1:16" ht="32.4" customHeight="1" x14ac:dyDescent="0.3">
      <c r="A6" s="60">
        <v>17</v>
      </c>
      <c r="B6" s="126" t="s">
        <v>2</v>
      </c>
      <c r="C6" s="184" t="s">
        <v>115</v>
      </c>
      <c r="D6" s="184"/>
      <c r="E6" s="184"/>
      <c r="F6" s="184"/>
      <c r="G6" s="184"/>
      <c r="H6" s="184"/>
      <c r="I6" s="184"/>
      <c r="J6" s="127">
        <v>2</v>
      </c>
      <c r="K6" s="127"/>
      <c r="M6" s="185" t="s">
        <v>51</v>
      </c>
      <c r="N6" s="185"/>
      <c r="O6" s="185"/>
      <c r="P6" s="61">
        <v>10</v>
      </c>
    </row>
    <row r="7" spans="1:16" ht="32.4" customHeight="1" x14ac:dyDescent="0.3">
      <c r="A7" s="60">
        <v>14</v>
      </c>
      <c r="B7" s="126" t="s">
        <v>3</v>
      </c>
      <c r="C7" s="184" t="s">
        <v>116</v>
      </c>
      <c r="D7" s="184"/>
      <c r="E7" s="184"/>
      <c r="F7" s="184"/>
      <c r="G7" s="184"/>
      <c r="H7" s="184"/>
      <c r="I7" s="184"/>
      <c r="J7" s="127">
        <v>1</v>
      </c>
      <c r="K7" s="127"/>
      <c r="M7" s="185" t="s">
        <v>11</v>
      </c>
      <c r="N7" s="185"/>
      <c r="O7" s="185"/>
      <c r="P7" s="61">
        <v>13</v>
      </c>
    </row>
    <row r="8" spans="1:16" ht="32.4" customHeight="1" x14ac:dyDescent="0.3">
      <c r="A8" s="60">
        <v>11</v>
      </c>
      <c r="B8" s="126" t="s">
        <v>4</v>
      </c>
      <c r="C8" s="184" t="s">
        <v>87</v>
      </c>
      <c r="D8" s="184"/>
      <c r="E8" s="184"/>
      <c r="F8" s="184"/>
      <c r="G8" s="184"/>
      <c r="H8" s="184"/>
      <c r="I8" s="184"/>
      <c r="J8" s="127">
        <v>0</v>
      </c>
      <c r="K8" s="127"/>
      <c r="M8" s="185" t="s">
        <v>14</v>
      </c>
      <c r="N8" s="185"/>
      <c r="O8" s="185"/>
      <c r="P8" s="61">
        <v>14</v>
      </c>
    </row>
    <row r="9" spans="1:16" ht="32.4" customHeight="1" x14ac:dyDescent="0.3">
      <c r="A9" s="60">
        <v>7</v>
      </c>
      <c r="B9" s="126" t="s">
        <v>5</v>
      </c>
      <c r="C9" s="184" t="s">
        <v>88</v>
      </c>
      <c r="D9" s="184"/>
      <c r="E9" s="184"/>
      <c r="F9" s="184"/>
      <c r="G9" s="184"/>
      <c r="H9" s="184"/>
      <c r="I9" s="184"/>
      <c r="J9" s="127">
        <v>-1</v>
      </c>
      <c r="K9" s="127"/>
      <c r="M9" s="185" t="s">
        <v>12</v>
      </c>
      <c r="N9" s="185"/>
      <c r="O9" s="185"/>
      <c r="P9" s="61">
        <v>13</v>
      </c>
    </row>
    <row r="10" spans="1:16" ht="32.4" customHeight="1" x14ac:dyDescent="0.3">
      <c r="A10" s="60">
        <v>4</v>
      </c>
      <c r="B10" s="126" t="s">
        <v>6</v>
      </c>
      <c r="C10" s="184" t="s">
        <v>117</v>
      </c>
      <c r="D10" s="184"/>
      <c r="E10" s="184"/>
      <c r="F10" s="184"/>
      <c r="G10" s="184"/>
      <c r="H10" s="184"/>
      <c r="I10" s="184"/>
      <c r="J10" s="127">
        <v>-2</v>
      </c>
      <c r="K10" s="127"/>
      <c r="M10" s="185" t="s">
        <v>13</v>
      </c>
      <c r="N10" s="185"/>
      <c r="O10" s="185"/>
      <c r="P10" s="61">
        <v>16</v>
      </c>
    </row>
    <row r="11" spans="1:16" ht="32.4" customHeight="1" x14ac:dyDescent="0.3">
      <c r="A11" s="60">
        <v>10</v>
      </c>
      <c r="B11" s="126" t="s">
        <v>7</v>
      </c>
      <c r="C11" s="184" t="s">
        <v>90</v>
      </c>
      <c r="D11" s="184"/>
      <c r="E11" s="184"/>
      <c r="F11" s="184"/>
      <c r="G11" s="184"/>
      <c r="H11" s="184"/>
      <c r="I11" s="184"/>
      <c r="J11" s="127">
        <v>0</v>
      </c>
      <c r="K11" s="127"/>
      <c r="P11" s="116" t="str">
        <f>'Cleric A'!P11</f>
        <v>TS: tiro ≥ valore = successo</v>
      </c>
    </row>
    <row r="12" spans="1:16" ht="8.4" customHeight="1" x14ac:dyDescent="0.3">
      <c r="A12" s="63"/>
      <c r="P12" s="62"/>
    </row>
    <row r="13" spans="1:16" s="3" customFormat="1" ht="15.6" customHeight="1" x14ac:dyDescent="0.3">
      <c r="A13" s="64" t="s">
        <v>16</v>
      </c>
      <c r="B13" s="29"/>
      <c r="C13" s="128"/>
      <c r="E13" s="29" t="s">
        <v>17</v>
      </c>
      <c r="F13" s="29"/>
      <c r="G13" s="29"/>
      <c r="H13" s="128"/>
      <c r="I13" s="129" t="s">
        <v>66</v>
      </c>
      <c r="J13" s="129" t="s">
        <v>67</v>
      </c>
      <c r="K13" s="129" t="s">
        <v>68</v>
      </c>
      <c r="N13" s="29" t="s">
        <v>56</v>
      </c>
      <c r="O13" s="30"/>
      <c r="P13" s="65"/>
    </row>
    <row r="14" spans="1:16" s="3" customFormat="1" ht="15.6" customHeight="1" x14ac:dyDescent="0.3">
      <c r="A14" s="180" t="s">
        <v>172</v>
      </c>
      <c r="B14" s="181"/>
      <c r="E14" s="128" t="s">
        <v>21</v>
      </c>
      <c r="F14" s="128"/>
      <c r="H14" s="99" t="s">
        <v>71</v>
      </c>
      <c r="I14" s="130">
        <v>20</v>
      </c>
      <c r="J14" s="1">
        <f>K14*1.5</f>
        <v>6</v>
      </c>
      <c r="K14" s="1">
        <f>I14/5</f>
        <v>4</v>
      </c>
      <c r="N14" s="3" t="s">
        <v>57</v>
      </c>
      <c r="P14" s="57"/>
    </row>
    <row r="15" spans="1:16" s="3" customFormat="1" ht="15.6" customHeight="1" x14ac:dyDescent="0.3">
      <c r="A15" s="182"/>
      <c r="B15" s="183"/>
      <c r="E15" s="131" t="s">
        <v>37</v>
      </c>
      <c r="F15" s="131"/>
      <c r="G15" s="132"/>
      <c r="H15" s="133" t="s">
        <v>72</v>
      </c>
      <c r="I15" s="134">
        <v>60</v>
      </c>
      <c r="J15" s="134">
        <f>K15*1.5</f>
        <v>18</v>
      </c>
      <c r="K15" s="134">
        <f t="shared" ref="K15:K18" si="0">I15/5</f>
        <v>12</v>
      </c>
      <c r="N15" s="3" t="s">
        <v>112</v>
      </c>
      <c r="P15" s="57"/>
    </row>
    <row r="16" spans="1:16" s="3" customFormat="1" ht="15.6" customHeight="1" x14ac:dyDescent="0.3">
      <c r="A16" s="182"/>
      <c r="B16" s="183"/>
      <c r="E16" s="128" t="s">
        <v>18</v>
      </c>
      <c r="F16" s="128"/>
      <c r="H16" s="99" t="s">
        <v>71</v>
      </c>
      <c r="I16" s="130">
        <v>60</v>
      </c>
      <c r="J16" s="1">
        <f>K16*1.5</f>
        <v>18</v>
      </c>
      <c r="K16" s="1">
        <f t="shared" si="0"/>
        <v>12</v>
      </c>
      <c r="N16" s="3" t="s">
        <v>113</v>
      </c>
      <c r="P16" s="57"/>
    </row>
    <row r="17" spans="1:16" s="3" customFormat="1" ht="15.6" customHeight="1" x14ac:dyDescent="0.3">
      <c r="A17" s="66" t="s">
        <v>207</v>
      </c>
      <c r="B17" s="135"/>
      <c r="E17" s="131" t="s">
        <v>35</v>
      </c>
      <c r="F17" s="131"/>
      <c r="G17" s="132"/>
      <c r="H17" s="133" t="s">
        <v>71</v>
      </c>
      <c r="I17" s="134">
        <v>10</v>
      </c>
      <c r="J17" s="134">
        <f>K17*1.5</f>
        <v>3</v>
      </c>
      <c r="K17" s="134">
        <f t="shared" si="0"/>
        <v>2</v>
      </c>
      <c r="N17" s="3" t="s">
        <v>60</v>
      </c>
      <c r="P17" s="57"/>
    </row>
    <row r="18" spans="1:16" s="3" customFormat="1" ht="15.6" customHeight="1" x14ac:dyDescent="0.3">
      <c r="A18" s="66" t="s">
        <v>96</v>
      </c>
      <c r="B18" s="136"/>
      <c r="E18" s="128" t="s">
        <v>36</v>
      </c>
      <c r="F18" s="128"/>
      <c r="H18" s="99" t="s">
        <v>71</v>
      </c>
      <c r="I18" s="130">
        <v>10</v>
      </c>
      <c r="J18" s="1">
        <f>K18*1.5</f>
        <v>3</v>
      </c>
      <c r="K18" s="1">
        <f t="shared" si="0"/>
        <v>2</v>
      </c>
      <c r="N18" s="3" t="s">
        <v>114</v>
      </c>
      <c r="P18" s="57"/>
    </row>
    <row r="19" spans="1:16" s="3" customFormat="1" ht="15.6" customHeight="1" x14ac:dyDescent="0.3">
      <c r="A19" s="67"/>
      <c r="B19" s="27"/>
      <c r="E19" s="131" t="s">
        <v>22</v>
      </c>
      <c r="F19" s="131"/>
      <c r="G19" s="132"/>
      <c r="H19" s="133" t="s">
        <v>73</v>
      </c>
      <c r="I19" s="137" t="s">
        <v>70</v>
      </c>
      <c r="J19" s="137" t="s">
        <v>69</v>
      </c>
      <c r="K19" s="137"/>
      <c r="N19" s="3" t="s">
        <v>62</v>
      </c>
      <c r="P19" s="57"/>
    </row>
    <row r="20" spans="1:16" s="3" customFormat="1" ht="15.6" customHeight="1" x14ac:dyDescent="0.3">
      <c r="A20" s="68" t="s">
        <v>241</v>
      </c>
      <c r="B20" s="42"/>
      <c r="E20" s="138"/>
      <c r="N20" s="186" t="s">
        <v>120</v>
      </c>
      <c r="O20" s="186"/>
      <c r="P20" s="187"/>
    </row>
    <row r="21" spans="1:16" s="3" customFormat="1" ht="15.6" customHeight="1" x14ac:dyDescent="0.3">
      <c r="A21" s="67" t="s">
        <v>242</v>
      </c>
      <c r="B21" s="28"/>
      <c r="E21" s="138" t="str">
        <f>'Cleric A'!E21</f>
        <v>Carica, Ritirata difensiva, Difesa totale</v>
      </c>
      <c r="O21" s="139"/>
      <c r="P21" s="71"/>
    </row>
    <row r="22" spans="1:16" ht="15.6" customHeight="1" x14ac:dyDescent="0.3">
      <c r="A22" s="70" t="s">
        <v>243</v>
      </c>
      <c r="B22" s="43"/>
      <c r="E22" s="138" t="str">
        <f>'Cleric A'!E22</f>
        <v>Spinta, Disarmo, Parare (F), Colpo potente (F)</v>
      </c>
      <c r="F22" s="3"/>
      <c r="N22" s="3"/>
      <c r="O22" s="139" t="s">
        <v>46</v>
      </c>
      <c r="P22" s="71">
        <v>12</v>
      </c>
    </row>
    <row r="23" spans="1:16" ht="15.6" customHeight="1" x14ac:dyDescent="0.3">
      <c r="A23" s="67" t="s">
        <v>244</v>
      </c>
      <c r="B23" s="28"/>
      <c r="E23" s="138" t="str">
        <f>'Cleric A'!E23</f>
        <v>Afferrrare, Liberarsi da presa, Azione Pronta</v>
      </c>
      <c r="M23" s="128"/>
      <c r="N23" s="165"/>
      <c r="P23" s="62"/>
    </row>
    <row r="24" spans="1:16" ht="15.6" customHeight="1" x14ac:dyDescent="0.3">
      <c r="A24" s="70" t="s">
        <v>245</v>
      </c>
      <c r="B24" s="43"/>
      <c r="E24" s="138" t="str">
        <f>'Cleric A'!E24</f>
        <v xml:space="preserve">Attraversare alleati ©, Passare posizione © , </v>
      </c>
      <c r="M24" s="128"/>
      <c r="N24" s="41"/>
      <c r="O24" s="41" t="s">
        <v>236</v>
      </c>
      <c r="P24" s="73" t="s">
        <v>237</v>
      </c>
    </row>
    <row r="25" spans="1:16" ht="15.6" customHeight="1" x14ac:dyDescent="0.3">
      <c r="A25" s="67" t="s">
        <v>246</v>
      </c>
      <c r="B25" s="28"/>
      <c r="E25" s="138" t="str">
        <f>'Cleric A'!E25</f>
        <v>Azione pronta, Preparare per carica</v>
      </c>
      <c r="N25" s="141" t="s">
        <v>42</v>
      </c>
      <c r="O25" s="28"/>
      <c r="P25" s="74"/>
    </row>
    <row r="26" spans="1:16" ht="15.6" customHeight="1" x14ac:dyDescent="0.3">
      <c r="A26" s="70" t="s">
        <v>79</v>
      </c>
      <c r="B26" s="43"/>
      <c r="E26" s="138" t="str">
        <f>'Cleric A'!E26</f>
        <v>Prone: +2 TxC nemici, metà mov per alzarsi</v>
      </c>
      <c r="N26" s="141" t="s">
        <v>39</v>
      </c>
      <c r="O26" s="28"/>
      <c r="P26" s="74">
        <v>500</v>
      </c>
    </row>
    <row r="27" spans="1:16" ht="15.6" customHeight="1" x14ac:dyDescent="0.3">
      <c r="A27" s="75" t="s">
        <v>247</v>
      </c>
      <c r="B27" s="23"/>
      <c r="E27" s="138" t="str">
        <f>'Cleric A'!E27</f>
        <v>Copertura: Parziale -2 TxC | Quasi Totale -4 TxC</v>
      </c>
      <c r="N27" s="141" t="s">
        <v>43</v>
      </c>
      <c r="O27" s="28"/>
      <c r="P27" s="74"/>
    </row>
    <row r="28" spans="1:16" ht="15.6" customHeight="1" x14ac:dyDescent="0.3">
      <c r="A28" s="63"/>
      <c r="E28" s="138" t="str">
        <f>'Cleric A'!E28</f>
        <v>Tiro oltre 1* alleato: -2 TxC, 1 Colpito Alleato</v>
      </c>
      <c r="G28" s="130"/>
      <c r="I28" s="130"/>
      <c r="N28" s="141" t="s">
        <v>40</v>
      </c>
      <c r="O28" s="28"/>
      <c r="P28" s="74"/>
    </row>
    <row r="29" spans="1:16" ht="15.6" customHeight="1" x14ac:dyDescent="0.3">
      <c r="A29" s="75"/>
      <c r="B29" s="23"/>
      <c r="E29" s="138" t="str">
        <f>'Cleric A'!E29</f>
        <v>Distanza:   corta +1, lunga -1</v>
      </c>
      <c r="N29" s="144"/>
      <c r="O29" s="139" t="s">
        <v>46</v>
      </c>
      <c r="P29" s="71">
        <v>5</v>
      </c>
    </row>
    <row r="30" spans="1:16" x14ac:dyDescent="0.3">
      <c r="A30" s="63"/>
      <c r="E30" s="138" t="str">
        <f>'Cleric A'!E30</f>
        <v>Copertura vs area: Parz. +2 TS, Quasi tot. +4 TS</v>
      </c>
      <c r="P30" s="62"/>
    </row>
    <row r="31" spans="1:16" ht="15.6" customHeight="1" x14ac:dyDescent="0.3">
      <c r="A31" s="86" t="s">
        <v>125</v>
      </c>
      <c r="B31" s="166"/>
      <c r="C31" s="166" t="s">
        <v>8</v>
      </c>
      <c r="E31" s="138"/>
      <c r="P31" s="62"/>
    </row>
    <row r="32" spans="1:16" ht="15.6" x14ac:dyDescent="0.3">
      <c r="A32" s="76" t="s">
        <v>124</v>
      </c>
      <c r="B32" s="5"/>
      <c r="C32" s="167">
        <v>0</v>
      </c>
      <c r="E32" s="138"/>
      <c r="N32" s="29" t="s">
        <v>29</v>
      </c>
      <c r="O32" s="31"/>
      <c r="P32" s="59"/>
    </row>
    <row r="33" spans="1:27" x14ac:dyDescent="0.3">
      <c r="A33" s="76" t="s">
        <v>122</v>
      </c>
      <c r="B33" s="5"/>
      <c r="C33" s="5">
        <v>2</v>
      </c>
      <c r="E33" s="138"/>
      <c r="N33" s="2" t="s">
        <v>54</v>
      </c>
      <c r="P33" s="62"/>
    </row>
    <row r="34" spans="1:27" x14ac:dyDescent="0.3">
      <c r="A34" s="76" t="s">
        <v>123</v>
      </c>
      <c r="B34" s="5"/>
      <c r="C34" s="5">
        <v>2</v>
      </c>
      <c r="E34" s="138"/>
      <c r="N34" s="2" t="s">
        <v>32</v>
      </c>
      <c r="P34" s="62"/>
    </row>
    <row r="35" spans="1:27" x14ac:dyDescent="0.3">
      <c r="A35" s="76" t="s">
        <v>24</v>
      </c>
      <c r="B35" s="5"/>
      <c r="C35" s="5">
        <v>2</v>
      </c>
      <c r="E35" s="138"/>
      <c r="N35" s="2" t="s">
        <v>55</v>
      </c>
      <c r="P35" s="62"/>
    </row>
    <row r="36" spans="1:27" x14ac:dyDescent="0.3">
      <c r="A36" s="63"/>
      <c r="L36" s="145" t="s">
        <v>206</v>
      </c>
      <c r="P36" s="62"/>
    </row>
    <row r="37" spans="1:27" ht="15.6" x14ac:dyDescent="0.3">
      <c r="A37" s="78" t="s">
        <v>15</v>
      </c>
      <c r="B37" s="26" t="s">
        <v>19</v>
      </c>
      <c r="C37" s="33" t="s">
        <v>20</v>
      </c>
      <c r="D37" s="4">
        <v>8</v>
      </c>
      <c r="E37" s="33">
        <f>D37-1</f>
        <v>7</v>
      </c>
      <c r="F37" s="4">
        <f t="shared" ref="F37:L37" si="1">E37-1</f>
        <v>6</v>
      </c>
      <c r="G37" s="33">
        <f t="shared" si="1"/>
        <v>5</v>
      </c>
      <c r="H37" s="4">
        <f t="shared" si="1"/>
        <v>4</v>
      </c>
      <c r="I37" s="33">
        <f t="shared" si="1"/>
        <v>3</v>
      </c>
      <c r="J37" s="4">
        <f t="shared" si="1"/>
        <v>2</v>
      </c>
      <c r="K37" s="33">
        <f t="shared" si="1"/>
        <v>1</v>
      </c>
      <c r="L37" s="4">
        <f t="shared" si="1"/>
        <v>0</v>
      </c>
      <c r="M37" s="188" t="s">
        <v>26</v>
      </c>
      <c r="N37" s="188"/>
      <c r="O37" s="29" t="s">
        <v>27</v>
      </c>
      <c r="P37" s="59"/>
    </row>
    <row r="38" spans="1:27" ht="18" x14ac:dyDescent="0.3">
      <c r="A38" s="77" t="s">
        <v>106</v>
      </c>
      <c r="B38" s="1" t="s">
        <v>226</v>
      </c>
      <c r="C38" s="146">
        <v>5</v>
      </c>
      <c r="D38" s="147">
        <f>C38+1</f>
        <v>6</v>
      </c>
      <c r="E38" s="146">
        <f t="shared" ref="E38:L38" si="2">D38+1</f>
        <v>7</v>
      </c>
      <c r="F38" s="147">
        <f t="shared" si="2"/>
        <v>8</v>
      </c>
      <c r="G38" s="146">
        <f t="shared" si="2"/>
        <v>9</v>
      </c>
      <c r="H38" s="147">
        <f t="shared" si="2"/>
        <v>10</v>
      </c>
      <c r="I38" s="146">
        <f t="shared" si="2"/>
        <v>11</v>
      </c>
      <c r="J38" s="147">
        <f t="shared" si="2"/>
        <v>12</v>
      </c>
      <c r="K38" s="146">
        <f t="shared" si="2"/>
        <v>13</v>
      </c>
      <c r="L38" s="147">
        <f t="shared" si="2"/>
        <v>14</v>
      </c>
      <c r="M38" s="189" t="s">
        <v>107</v>
      </c>
      <c r="N38" s="189"/>
      <c r="O38" s="2" t="s">
        <v>111</v>
      </c>
      <c r="P38" s="62"/>
    </row>
    <row r="39" spans="1:27" ht="18" x14ac:dyDescent="0.3">
      <c r="A39" s="77" t="s">
        <v>24</v>
      </c>
      <c r="B39" s="1" t="s">
        <v>23</v>
      </c>
      <c r="C39" s="146">
        <v>6</v>
      </c>
      <c r="D39" s="147">
        <f t="shared" ref="D39:L40" si="3">C39+1</f>
        <v>7</v>
      </c>
      <c r="E39" s="146">
        <f t="shared" si="3"/>
        <v>8</v>
      </c>
      <c r="F39" s="147">
        <f t="shared" si="3"/>
        <v>9</v>
      </c>
      <c r="G39" s="146">
        <f t="shared" si="3"/>
        <v>10</v>
      </c>
      <c r="H39" s="147">
        <f t="shared" si="3"/>
        <v>11</v>
      </c>
      <c r="I39" s="146">
        <f t="shared" si="3"/>
        <v>12</v>
      </c>
      <c r="J39" s="147">
        <f t="shared" si="3"/>
        <v>13</v>
      </c>
      <c r="K39" s="146">
        <f t="shared" si="3"/>
        <v>14</v>
      </c>
      <c r="L39" s="147">
        <f t="shared" si="3"/>
        <v>15</v>
      </c>
      <c r="M39" s="190" t="s">
        <v>108</v>
      </c>
      <c r="N39" s="190"/>
      <c r="O39" s="3" t="s">
        <v>118</v>
      </c>
      <c r="P39" s="62"/>
      <c r="AA39"/>
    </row>
    <row r="40" spans="1:27" ht="18.600000000000001" thickBot="1" x14ac:dyDescent="0.35">
      <c r="A40" s="79" t="s">
        <v>25</v>
      </c>
      <c r="B40" s="80" t="s">
        <v>109</v>
      </c>
      <c r="C40" s="81">
        <v>7</v>
      </c>
      <c r="D40" s="82">
        <f t="shared" si="3"/>
        <v>8</v>
      </c>
      <c r="E40" s="81">
        <f t="shared" si="3"/>
        <v>9</v>
      </c>
      <c r="F40" s="82">
        <f t="shared" si="3"/>
        <v>10</v>
      </c>
      <c r="G40" s="81">
        <f t="shared" si="3"/>
        <v>11</v>
      </c>
      <c r="H40" s="82">
        <f t="shared" si="3"/>
        <v>12</v>
      </c>
      <c r="I40" s="81">
        <f t="shared" si="3"/>
        <v>13</v>
      </c>
      <c r="J40" s="82">
        <f t="shared" si="3"/>
        <v>14</v>
      </c>
      <c r="K40" s="81">
        <f t="shared" si="3"/>
        <v>15</v>
      </c>
      <c r="L40" s="82">
        <f t="shared" si="3"/>
        <v>16</v>
      </c>
      <c r="M40" s="191" t="s">
        <v>28</v>
      </c>
      <c r="N40" s="191"/>
      <c r="O40" s="83" t="s">
        <v>119</v>
      </c>
      <c r="P40" s="84"/>
    </row>
  </sheetData>
  <mergeCells count="17">
    <mergeCell ref="M37:N37"/>
    <mergeCell ref="M38:N38"/>
    <mergeCell ref="M39:N39"/>
    <mergeCell ref="M40:N40"/>
    <mergeCell ref="N20:P20"/>
    <mergeCell ref="A14:B16"/>
    <mergeCell ref="C6:I6"/>
    <mergeCell ref="M6:O6"/>
    <mergeCell ref="C7:I7"/>
    <mergeCell ref="M7:O7"/>
    <mergeCell ref="C8:I8"/>
    <mergeCell ref="M8:O8"/>
    <mergeCell ref="C9:I9"/>
    <mergeCell ref="M9:O9"/>
    <mergeCell ref="C10:I10"/>
    <mergeCell ref="M10:O10"/>
    <mergeCell ref="C11:I11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CECC3-3302-44DA-8376-3DD3643BBD45}">
  <dimension ref="A1:AA40"/>
  <sheetViews>
    <sheetView zoomScale="120" zoomScaleNormal="120" workbookViewId="0">
      <selection activeCell="T7" sqref="T7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44" t="s">
        <v>0</v>
      </c>
      <c r="B1" s="45" t="s">
        <v>49</v>
      </c>
      <c r="C1" s="45"/>
      <c r="D1" s="46"/>
      <c r="E1" s="47"/>
      <c r="F1" s="48"/>
      <c r="G1" s="49" t="s">
        <v>103</v>
      </c>
      <c r="H1" s="45"/>
      <c r="I1" s="48"/>
      <c r="J1" s="50"/>
      <c r="K1" s="51" t="s">
        <v>34</v>
      </c>
      <c r="L1" s="46"/>
      <c r="M1" s="46"/>
      <c r="N1" s="52" t="s">
        <v>95</v>
      </c>
      <c r="O1" s="45"/>
      <c r="P1" s="53"/>
    </row>
    <row r="2" spans="1:16" ht="20.399999999999999" customHeight="1" x14ac:dyDescent="0.3">
      <c r="A2" s="54" t="s">
        <v>94</v>
      </c>
      <c r="B2" s="35" t="s">
        <v>75</v>
      </c>
      <c r="C2" s="35"/>
      <c r="D2" s="117"/>
      <c r="E2" s="36" t="s">
        <v>33</v>
      </c>
      <c r="F2" s="37"/>
      <c r="G2" s="37" t="s">
        <v>101</v>
      </c>
      <c r="H2" s="37"/>
      <c r="I2" s="38" t="s">
        <v>102</v>
      </c>
      <c r="J2" s="117"/>
      <c r="K2" s="118" t="s">
        <v>1</v>
      </c>
      <c r="L2" s="119"/>
      <c r="M2" s="119"/>
      <c r="N2" s="35" t="s">
        <v>50</v>
      </c>
      <c r="O2" s="35"/>
      <c r="P2" s="55"/>
    </row>
    <row r="3" spans="1:16" ht="9.6" customHeight="1" x14ac:dyDescent="0.3">
      <c r="A3" s="56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57"/>
    </row>
    <row r="4" spans="1:16" ht="18.600000000000001" customHeight="1" x14ac:dyDescent="0.3">
      <c r="A4" s="87" t="s">
        <v>8</v>
      </c>
      <c r="B4" s="120">
        <v>2</v>
      </c>
      <c r="C4" s="1"/>
      <c r="E4" s="121" t="s">
        <v>46</v>
      </c>
      <c r="F4" s="122">
        <v>20</v>
      </c>
      <c r="G4" s="123" t="s">
        <v>63</v>
      </c>
      <c r="H4" s="1"/>
      <c r="I4" s="1"/>
      <c r="J4" s="124"/>
      <c r="L4" s="125" t="s">
        <v>93</v>
      </c>
      <c r="M4" s="122">
        <v>-1</v>
      </c>
      <c r="N4" s="1"/>
      <c r="O4" s="121" t="s">
        <v>9</v>
      </c>
      <c r="P4" s="88">
        <v>31</v>
      </c>
    </row>
    <row r="5" spans="1:16" ht="19.8" customHeight="1" x14ac:dyDescent="0.3">
      <c r="A5" s="58" t="s">
        <v>29</v>
      </c>
      <c r="B5" s="32"/>
      <c r="J5" s="2" t="s">
        <v>92</v>
      </c>
      <c r="M5" s="32" t="s">
        <v>10</v>
      </c>
      <c r="N5" s="31"/>
      <c r="O5" s="31"/>
      <c r="P5" s="59"/>
    </row>
    <row r="6" spans="1:16" ht="32.4" customHeight="1" x14ac:dyDescent="0.3">
      <c r="A6" s="60">
        <v>12</v>
      </c>
      <c r="B6" s="126" t="s">
        <v>2</v>
      </c>
      <c r="C6" s="184" t="s">
        <v>85</v>
      </c>
      <c r="D6" s="184"/>
      <c r="E6" s="184"/>
      <c r="F6" s="184"/>
      <c r="G6" s="184"/>
      <c r="H6" s="184"/>
      <c r="I6" s="184"/>
      <c r="J6" s="127">
        <v>0</v>
      </c>
      <c r="K6" s="127"/>
      <c r="M6" s="185" t="s">
        <v>51</v>
      </c>
      <c r="N6" s="185"/>
      <c r="O6" s="185"/>
      <c r="P6" s="61">
        <v>9</v>
      </c>
    </row>
    <row r="7" spans="1:16" ht="32.4" customHeight="1" x14ac:dyDescent="0.3">
      <c r="A7" s="60">
        <v>6</v>
      </c>
      <c r="B7" s="126" t="s">
        <v>3</v>
      </c>
      <c r="C7" s="184" t="s">
        <v>86</v>
      </c>
      <c r="D7" s="184"/>
      <c r="E7" s="184"/>
      <c r="F7" s="184"/>
      <c r="G7" s="184"/>
      <c r="H7" s="184"/>
      <c r="I7" s="184"/>
      <c r="J7" s="127">
        <v>-1</v>
      </c>
      <c r="K7" s="127"/>
      <c r="M7" s="185" t="s">
        <v>11</v>
      </c>
      <c r="N7" s="185"/>
      <c r="O7" s="185"/>
      <c r="P7" s="61">
        <v>9</v>
      </c>
    </row>
    <row r="8" spans="1:16" ht="32.4" customHeight="1" x14ac:dyDescent="0.3">
      <c r="A8" s="60">
        <v>12</v>
      </c>
      <c r="B8" s="126" t="s">
        <v>4</v>
      </c>
      <c r="C8" s="184" t="s">
        <v>87</v>
      </c>
      <c r="D8" s="184"/>
      <c r="E8" s="184"/>
      <c r="F8" s="184"/>
      <c r="G8" s="184"/>
      <c r="H8" s="184"/>
      <c r="I8" s="184"/>
      <c r="J8" s="127">
        <v>0</v>
      </c>
      <c r="K8" s="127"/>
      <c r="M8" s="185" t="s">
        <v>14</v>
      </c>
      <c r="N8" s="185"/>
      <c r="O8" s="185"/>
      <c r="P8" s="61">
        <v>11</v>
      </c>
    </row>
    <row r="9" spans="1:16" ht="32.4" customHeight="1" x14ac:dyDescent="0.3">
      <c r="A9" s="60">
        <v>7</v>
      </c>
      <c r="B9" s="126" t="s">
        <v>5</v>
      </c>
      <c r="C9" s="184" t="s">
        <v>88</v>
      </c>
      <c r="D9" s="184"/>
      <c r="E9" s="184"/>
      <c r="F9" s="184"/>
      <c r="G9" s="184"/>
      <c r="H9" s="184"/>
      <c r="I9" s="184"/>
      <c r="J9" s="127">
        <v>-1</v>
      </c>
      <c r="K9" s="127"/>
      <c r="M9" s="185" t="s">
        <v>12</v>
      </c>
      <c r="N9" s="185"/>
      <c r="O9" s="185"/>
      <c r="P9" s="61">
        <v>14</v>
      </c>
    </row>
    <row r="10" spans="1:16" ht="32.4" customHeight="1" x14ac:dyDescent="0.3">
      <c r="A10" s="60">
        <v>13</v>
      </c>
      <c r="B10" s="126" t="s">
        <v>6</v>
      </c>
      <c r="C10" s="184" t="s">
        <v>89</v>
      </c>
      <c r="D10" s="184"/>
      <c r="E10" s="184"/>
      <c r="F10" s="184"/>
      <c r="G10" s="184"/>
      <c r="H10" s="184"/>
      <c r="I10" s="184"/>
      <c r="J10" s="127">
        <v>1</v>
      </c>
      <c r="K10" s="127"/>
      <c r="M10" s="185" t="s">
        <v>13</v>
      </c>
      <c r="N10" s="185"/>
      <c r="O10" s="185"/>
      <c r="P10" s="61">
        <v>11</v>
      </c>
    </row>
    <row r="11" spans="1:16" ht="32.4" customHeight="1" x14ac:dyDescent="0.3">
      <c r="A11" s="60">
        <v>9</v>
      </c>
      <c r="B11" s="126" t="s">
        <v>7</v>
      </c>
      <c r="C11" s="184" t="s">
        <v>90</v>
      </c>
      <c r="D11" s="184"/>
      <c r="E11" s="184"/>
      <c r="F11" s="184"/>
      <c r="G11" s="184"/>
      <c r="H11" s="184"/>
      <c r="I11" s="184"/>
      <c r="J11" s="127">
        <v>0</v>
      </c>
      <c r="K11" s="127"/>
      <c r="M11" s="18"/>
      <c r="P11" s="116" t="s">
        <v>223</v>
      </c>
    </row>
    <row r="12" spans="1:16" ht="8.4" customHeight="1" x14ac:dyDescent="0.3">
      <c r="A12" s="63"/>
      <c r="P12" s="116"/>
    </row>
    <row r="13" spans="1:16" s="3" customFormat="1" ht="15.6" customHeight="1" x14ac:dyDescent="0.3">
      <c r="A13" s="64" t="s">
        <v>16</v>
      </c>
      <c r="B13" s="29"/>
      <c r="C13" s="128"/>
      <c r="E13" s="29" t="s">
        <v>17</v>
      </c>
      <c r="F13" s="29"/>
      <c r="G13" s="29"/>
      <c r="H13" s="128"/>
      <c r="I13" s="129" t="s">
        <v>66</v>
      </c>
      <c r="J13" s="129" t="s">
        <v>67</v>
      </c>
      <c r="K13" s="129" t="s">
        <v>68</v>
      </c>
      <c r="N13" s="39" t="s">
        <v>56</v>
      </c>
      <c r="O13" s="40"/>
      <c r="P13" s="89"/>
    </row>
    <row r="14" spans="1:16" s="3" customFormat="1" ht="15.6" customHeight="1" x14ac:dyDescent="0.3">
      <c r="A14" s="180" t="s">
        <v>172</v>
      </c>
      <c r="B14" s="181"/>
      <c r="E14" s="128" t="s">
        <v>21</v>
      </c>
      <c r="F14" s="128"/>
      <c r="H14" s="99" t="s">
        <v>71</v>
      </c>
      <c r="I14" s="130">
        <v>20</v>
      </c>
      <c r="J14" s="1">
        <f>K14*1.5</f>
        <v>6</v>
      </c>
      <c r="K14" s="1">
        <f>I14/5</f>
        <v>4</v>
      </c>
      <c r="N14" s="25" t="s">
        <v>57</v>
      </c>
      <c r="O14" s="25"/>
      <c r="P14" s="90"/>
    </row>
    <row r="15" spans="1:16" s="3" customFormat="1" ht="15.6" customHeight="1" x14ac:dyDescent="0.3">
      <c r="A15" s="182"/>
      <c r="B15" s="183"/>
      <c r="E15" s="131" t="s">
        <v>37</v>
      </c>
      <c r="F15" s="131"/>
      <c r="G15" s="132"/>
      <c r="H15" s="133" t="s">
        <v>72</v>
      </c>
      <c r="I15" s="134">
        <v>60</v>
      </c>
      <c r="J15" s="134">
        <f>K15*1.5</f>
        <v>18</v>
      </c>
      <c r="K15" s="134">
        <f t="shared" ref="K15:K18" si="0">I15/5</f>
        <v>12</v>
      </c>
      <c r="N15" s="25" t="s">
        <v>58</v>
      </c>
      <c r="O15" s="25"/>
      <c r="P15" s="90"/>
    </row>
    <row r="16" spans="1:16" s="3" customFormat="1" ht="15.6" customHeight="1" x14ac:dyDescent="0.3">
      <c r="A16" s="182"/>
      <c r="B16" s="183"/>
      <c r="E16" s="128" t="s">
        <v>18</v>
      </c>
      <c r="F16" s="128"/>
      <c r="H16" s="99" t="s">
        <v>71</v>
      </c>
      <c r="I16" s="130">
        <v>60</v>
      </c>
      <c r="J16" s="1">
        <f>K16*1.5</f>
        <v>18</v>
      </c>
      <c r="K16" s="1">
        <f t="shared" si="0"/>
        <v>12</v>
      </c>
      <c r="N16" s="25" t="s">
        <v>59</v>
      </c>
      <c r="O16" s="25"/>
      <c r="P16" s="90"/>
    </row>
    <row r="17" spans="1:16" s="3" customFormat="1" ht="15.6" customHeight="1" x14ac:dyDescent="0.3">
      <c r="A17" s="66" t="s">
        <v>207</v>
      </c>
      <c r="B17" s="135"/>
      <c r="E17" s="131" t="s">
        <v>35</v>
      </c>
      <c r="F17" s="131"/>
      <c r="G17" s="132"/>
      <c r="H17" s="133" t="s">
        <v>71</v>
      </c>
      <c r="I17" s="134">
        <v>10</v>
      </c>
      <c r="J17" s="134">
        <f>K17*1.5</f>
        <v>3</v>
      </c>
      <c r="K17" s="134">
        <f t="shared" si="0"/>
        <v>2</v>
      </c>
      <c r="N17" s="25" t="s">
        <v>60</v>
      </c>
      <c r="O17" s="25"/>
      <c r="P17" s="90"/>
    </row>
    <row r="18" spans="1:16" s="3" customFormat="1" ht="15.6" customHeight="1" x14ac:dyDescent="0.3">
      <c r="A18" s="66" t="s">
        <v>96</v>
      </c>
      <c r="B18" s="136"/>
      <c r="E18" s="128" t="s">
        <v>36</v>
      </c>
      <c r="F18" s="128"/>
      <c r="H18" s="99" t="s">
        <v>71</v>
      </c>
      <c r="I18" s="130">
        <v>10</v>
      </c>
      <c r="J18" s="1">
        <f>K18*1.5</f>
        <v>3</v>
      </c>
      <c r="K18" s="1">
        <f t="shared" si="0"/>
        <v>2</v>
      </c>
      <c r="N18" s="25" t="s">
        <v>61</v>
      </c>
      <c r="O18" s="25"/>
      <c r="P18" s="90"/>
    </row>
    <row r="19" spans="1:16" s="3" customFormat="1" ht="15.6" customHeight="1" x14ac:dyDescent="0.3">
      <c r="A19" s="67"/>
      <c r="B19" s="27"/>
      <c r="E19" s="131" t="s">
        <v>22</v>
      </c>
      <c r="F19" s="131"/>
      <c r="G19" s="132"/>
      <c r="H19" s="133" t="s">
        <v>73</v>
      </c>
      <c r="I19" s="137" t="s">
        <v>147</v>
      </c>
      <c r="J19" s="137" t="s">
        <v>69</v>
      </c>
      <c r="K19" s="137"/>
      <c r="N19" s="25" t="s">
        <v>91</v>
      </c>
      <c r="O19" s="25"/>
      <c r="P19" s="90"/>
    </row>
    <row r="20" spans="1:16" s="3" customFormat="1" ht="15.6" customHeight="1" x14ac:dyDescent="0.3">
      <c r="A20" s="93" t="s">
        <v>241</v>
      </c>
      <c r="B20" s="92"/>
      <c r="N20" s="192" t="s">
        <v>62</v>
      </c>
      <c r="O20" s="192"/>
      <c r="P20" s="193"/>
    </row>
    <row r="21" spans="1:16" s="3" customFormat="1" ht="15.6" customHeight="1" x14ac:dyDescent="0.3">
      <c r="A21" s="94" t="s">
        <v>242</v>
      </c>
      <c r="B21" s="28"/>
      <c r="E21" s="138" t="s">
        <v>232</v>
      </c>
      <c r="N21" s="25"/>
      <c r="O21" s="25"/>
      <c r="P21" s="91"/>
    </row>
    <row r="22" spans="1:16" ht="15.6" customHeight="1" x14ac:dyDescent="0.3">
      <c r="A22" s="95" t="s">
        <v>243</v>
      </c>
      <c r="B22" s="43"/>
      <c r="E22" s="138" t="s">
        <v>234</v>
      </c>
      <c r="N22" s="139"/>
      <c r="O22" s="139" t="s">
        <v>46</v>
      </c>
      <c r="P22" s="71">
        <v>8</v>
      </c>
    </row>
    <row r="23" spans="1:16" ht="15.6" customHeight="1" x14ac:dyDescent="0.3">
      <c r="A23" s="94" t="s">
        <v>244</v>
      </c>
      <c r="B23" s="28"/>
      <c r="E23" s="138" t="s">
        <v>231</v>
      </c>
      <c r="M23" s="128"/>
      <c r="N23" s="140"/>
      <c r="O23" s="28"/>
      <c r="P23" s="72"/>
    </row>
    <row r="24" spans="1:16" ht="15.6" customHeight="1" x14ac:dyDescent="0.3">
      <c r="A24" s="95" t="s">
        <v>245</v>
      </c>
      <c r="B24" s="43"/>
      <c r="E24" s="138" t="s">
        <v>233</v>
      </c>
      <c r="M24" s="128"/>
      <c r="N24" s="41"/>
      <c r="O24" s="41" t="s">
        <v>236</v>
      </c>
      <c r="P24" s="73" t="s">
        <v>237</v>
      </c>
    </row>
    <row r="25" spans="1:16" ht="15.6" customHeight="1" x14ac:dyDescent="0.3">
      <c r="A25" s="94" t="s">
        <v>246</v>
      </c>
      <c r="B25" s="28"/>
      <c r="E25" s="138" t="s">
        <v>235</v>
      </c>
      <c r="N25" s="141" t="s">
        <v>42</v>
      </c>
      <c r="O25" s="28"/>
      <c r="P25" s="74"/>
    </row>
    <row r="26" spans="1:16" ht="15.6" customHeight="1" x14ac:dyDescent="0.3">
      <c r="A26" s="95" t="s">
        <v>79</v>
      </c>
      <c r="B26" s="43"/>
      <c r="E26" s="142" t="s">
        <v>238</v>
      </c>
      <c r="N26" s="141" t="s">
        <v>39</v>
      </c>
      <c r="O26" s="28"/>
      <c r="P26" s="74">
        <v>500</v>
      </c>
    </row>
    <row r="27" spans="1:16" ht="15.6" customHeight="1" x14ac:dyDescent="0.3">
      <c r="A27" s="96" t="s">
        <v>247</v>
      </c>
      <c r="B27" s="23"/>
      <c r="E27" s="142" t="s">
        <v>323</v>
      </c>
      <c r="N27" s="141" t="s">
        <v>43</v>
      </c>
      <c r="O27" s="28"/>
      <c r="P27" s="74"/>
    </row>
    <row r="28" spans="1:16" ht="15.6" customHeight="1" x14ac:dyDescent="0.3">
      <c r="A28" s="63"/>
      <c r="E28" s="143" t="s">
        <v>239</v>
      </c>
      <c r="N28" s="141" t="s">
        <v>40</v>
      </c>
      <c r="O28" s="28"/>
      <c r="P28" s="74"/>
    </row>
    <row r="29" spans="1:16" ht="15.6" customHeight="1" x14ac:dyDescent="0.3">
      <c r="A29" s="75"/>
      <c r="B29" s="23"/>
      <c r="E29" s="143" t="s">
        <v>240</v>
      </c>
      <c r="N29" s="144"/>
      <c r="O29" s="139" t="s">
        <v>46</v>
      </c>
      <c r="P29" s="71">
        <v>5</v>
      </c>
    </row>
    <row r="30" spans="1:16" x14ac:dyDescent="0.3">
      <c r="A30" s="63"/>
      <c r="E30" s="143" t="s">
        <v>224</v>
      </c>
      <c r="P30" s="62"/>
    </row>
    <row r="31" spans="1:16" ht="15.6" customHeight="1" x14ac:dyDescent="0.3">
      <c r="A31" s="64" t="s">
        <v>41</v>
      </c>
      <c r="B31" s="29"/>
      <c r="C31" s="34" t="s">
        <v>97</v>
      </c>
      <c r="D31" s="31"/>
      <c r="E31" s="34" t="s">
        <v>98</v>
      </c>
      <c r="F31" s="31"/>
      <c r="G31" s="34" t="s">
        <v>99</v>
      </c>
      <c r="H31" s="31"/>
      <c r="I31" s="34" t="s">
        <v>100</v>
      </c>
      <c r="J31" s="31"/>
      <c r="K31" s="31"/>
      <c r="N31" s="29" t="s">
        <v>29</v>
      </c>
      <c r="O31" s="31"/>
      <c r="P31" s="59"/>
    </row>
    <row r="32" spans="1:16" x14ac:dyDescent="0.3">
      <c r="A32" s="85" t="s">
        <v>30</v>
      </c>
      <c r="B32" s="2" t="s">
        <v>76</v>
      </c>
      <c r="N32" s="2" t="s">
        <v>54</v>
      </c>
      <c r="P32" s="62"/>
    </row>
    <row r="33" spans="1:27" x14ac:dyDescent="0.3">
      <c r="A33" s="85" t="s">
        <v>31</v>
      </c>
      <c r="B33" s="2" t="s">
        <v>78</v>
      </c>
      <c r="N33" s="2" t="s">
        <v>32</v>
      </c>
      <c r="P33" s="62"/>
    </row>
    <row r="34" spans="1:27" x14ac:dyDescent="0.3">
      <c r="A34" s="85" t="s">
        <v>38</v>
      </c>
      <c r="B34" s="2" t="s">
        <v>77</v>
      </c>
      <c r="N34" s="2" t="s">
        <v>55</v>
      </c>
      <c r="P34" s="62"/>
    </row>
    <row r="35" spans="1:27" x14ac:dyDescent="0.3">
      <c r="A35" s="85" t="s">
        <v>64</v>
      </c>
      <c r="B35" s="2" t="s">
        <v>65</v>
      </c>
      <c r="N35" s="2" t="s">
        <v>74</v>
      </c>
      <c r="P35" s="62"/>
    </row>
    <row r="36" spans="1:27" x14ac:dyDescent="0.3">
      <c r="A36" s="63"/>
      <c r="L36" s="145" t="s">
        <v>206</v>
      </c>
      <c r="P36" s="62"/>
    </row>
    <row r="37" spans="1:27" ht="15.6" x14ac:dyDescent="0.3">
      <c r="A37" s="78" t="s">
        <v>15</v>
      </c>
      <c r="B37" s="26" t="s">
        <v>19</v>
      </c>
      <c r="C37" s="33" t="s">
        <v>20</v>
      </c>
      <c r="D37" s="4">
        <v>8</v>
      </c>
      <c r="E37" s="33">
        <f>D37-1</f>
        <v>7</v>
      </c>
      <c r="F37" s="4">
        <f t="shared" ref="F37:L37" si="1">E37-1</f>
        <v>6</v>
      </c>
      <c r="G37" s="33">
        <f t="shared" si="1"/>
        <v>5</v>
      </c>
      <c r="H37" s="4">
        <f t="shared" si="1"/>
        <v>4</v>
      </c>
      <c r="I37" s="33">
        <f t="shared" si="1"/>
        <v>3</v>
      </c>
      <c r="J37" s="4">
        <f t="shared" si="1"/>
        <v>2</v>
      </c>
      <c r="K37" s="33">
        <f t="shared" si="1"/>
        <v>1</v>
      </c>
      <c r="L37" s="4">
        <f t="shared" si="1"/>
        <v>0</v>
      </c>
      <c r="M37" s="188" t="s">
        <v>26</v>
      </c>
      <c r="N37" s="188"/>
      <c r="O37" s="29" t="s">
        <v>27</v>
      </c>
      <c r="P37" s="59"/>
    </row>
    <row r="38" spans="1:27" ht="18" x14ac:dyDescent="0.3">
      <c r="A38" s="77" t="s">
        <v>52</v>
      </c>
      <c r="B38" s="1" t="s">
        <v>23</v>
      </c>
      <c r="C38" s="146">
        <v>8</v>
      </c>
      <c r="D38" s="147">
        <f>C38+1</f>
        <v>9</v>
      </c>
      <c r="E38" s="146">
        <f t="shared" ref="E38:L38" si="2">D38+1</f>
        <v>10</v>
      </c>
      <c r="F38" s="147">
        <f t="shared" si="2"/>
        <v>11</v>
      </c>
      <c r="G38" s="146">
        <f t="shared" si="2"/>
        <v>12</v>
      </c>
      <c r="H38" s="147">
        <f t="shared" si="2"/>
        <v>13</v>
      </c>
      <c r="I38" s="146">
        <f t="shared" si="2"/>
        <v>14</v>
      </c>
      <c r="J38" s="147">
        <f t="shared" si="2"/>
        <v>15</v>
      </c>
      <c r="K38" s="146">
        <f t="shared" si="2"/>
        <v>16</v>
      </c>
      <c r="L38" s="147">
        <f t="shared" si="2"/>
        <v>17</v>
      </c>
      <c r="M38" s="189" t="s">
        <v>28</v>
      </c>
      <c r="N38" s="189"/>
      <c r="P38" s="62"/>
    </row>
    <row r="39" spans="1:27" ht="18" x14ac:dyDescent="0.3">
      <c r="A39" s="77" t="s">
        <v>53</v>
      </c>
      <c r="B39" s="1" t="s">
        <v>80</v>
      </c>
      <c r="C39" s="146">
        <v>8</v>
      </c>
      <c r="D39" s="147">
        <f t="shared" ref="D39:L39" si="3">C39+1</f>
        <v>9</v>
      </c>
      <c r="E39" s="146">
        <f t="shared" si="3"/>
        <v>10</v>
      </c>
      <c r="F39" s="147">
        <f t="shared" si="3"/>
        <v>11</v>
      </c>
      <c r="G39" s="146">
        <f t="shared" si="3"/>
        <v>12</v>
      </c>
      <c r="H39" s="147">
        <f t="shared" si="3"/>
        <v>13</v>
      </c>
      <c r="I39" s="146">
        <f t="shared" si="3"/>
        <v>14</v>
      </c>
      <c r="J39" s="147">
        <f t="shared" si="3"/>
        <v>15</v>
      </c>
      <c r="K39" s="146">
        <f t="shared" si="3"/>
        <v>16</v>
      </c>
      <c r="L39" s="147">
        <f t="shared" si="3"/>
        <v>17</v>
      </c>
      <c r="M39" s="190" t="s">
        <v>84</v>
      </c>
      <c r="N39" s="190"/>
      <c r="O39" s="3" t="s">
        <v>83</v>
      </c>
      <c r="P39" s="62"/>
      <c r="AA39"/>
    </row>
    <row r="40" spans="1:27" ht="18.600000000000001" thickBot="1" x14ac:dyDescent="0.35">
      <c r="A40" s="79" t="s">
        <v>79</v>
      </c>
      <c r="B40" s="80" t="s">
        <v>81</v>
      </c>
      <c r="C40" s="81">
        <v>9</v>
      </c>
      <c r="D40" s="82">
        <f t="shared" ref="D40:L40" si="4">C40+1</f>
        <v>10</v>
      </c>
      <c r="E40" s="81">
        <f t="shared" si="4"/>
        <v>11</v>
      </c>
      <c r="F40" s="82">
        <f t="shared" si="4"/>
        <v>12</v>
      </c>
      <c r="G40" s="81">
        <f t="shared" si="4"/>
        <v>13</v>
      </c>
      <c r="H40" s="82">
        <f t="shared" si="4"/>
        <v>14</v>
      </c>
      <c r="I40" s="81">
        <f t="shared" si="4"/>
        <v>15</v>
      </c>
      <c r="J40" s="82">
        <f t="shared" si="4"/>
        <v>16</v>
      </c>
      <c r="K40" s="81">
        <f t="shared" si="4"/>
        <v>17</v>
      </c>
      <c r="L40" s="82">
        <f t="shared" si="4"/>
        <v>18</v>
      </c>
      <c r="M40" s="191" t="s">
        <v>82</v>
      </c>
      <c r="N40" s="191"/>
      <c r="O40" s="148" t="s">
        <v>222</v>
      </c>
      <c r="P40" s="84"/>
    </row>
  </sheetData>
  <mergeCells count="17">
    <mergeCell ref="M39:N39"/>
    <mergeCell ref="C11:I11"/>
    <mergeCell ref="N20:P20"/>
    <mergeCell ref="M40:N40"/>
    <mergeCell ref="M37:N37"/>
    <mergeCell ref="M38:N38"/>
    <mergeCell ref="A14:B16"/>
    <mergeCell ref="C6:I6"/>
    <mergeCell ref="C7:I7"/>
    <mergeCell ref="C8:I8"/>
    <mergeCell ref="C9:I9"/>
    <mergeCell ref="C10:I10"/>
    <mergeCell ref="M6:O6"/>
    <mergeCell ref="M7:O7"/>
    <mergeCell ref="M8:O8"/>
    <mergeCell ref="M9:O9"/>
    <mergeCell ref="M10:O10"/>
  </mergeCells>
  <phoneticPr fontId="13" type="noConversion"/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F733B-4F29-4CC7-8875-78DA591CD6C7}">
  <dimension ref="A1:U69"/>
  <sheetViews>
    <sheetView topLeftCell="A12" zoomScale="136" zoomScaleNormal="136" workbookViewId="0">
      <selection activeCell="J46" sqref="J46"/>
    </sheetView>
  </sheetViews>
  <sheetFormatPr defaultRowHeight="14.4" x14ac:dyDescent="0.3"/>
  <cols>
    <col min="1" max="1" width="5.88671875" customWidth="1"/>
    <col min="2" max="2" width="5.88671875" style="5" customWidth="1"/>
    <col min="3" max="17" width="5.88671875" customWidth="1"/>
    <col min="18" max="21" width="5.5546875" customWidth="1"/>
  </cols>
  <sheetData>
    <row r="1" spans="1:21" s="2" customFormat="1" ht="17.399999999999999" customHeight="1" x14ac:dyDescent="0.3">
      <c r="A1" s="2" t="s">
        <v>228</v>
      </c>
      <c r="B1" s="1"/>
      <c r="C1" s="21"/>
      <c r="E1" s="2" t="s">
        <v>227</v>
      </c>
      <c r="G1" s="21"/>
      <c r="I1" s="2" t="s">
        <v>230</v>
      </c>
      <c r="K1" s="21"/>
      <c r="M1" s="2" t="s">
        <v>229</v>
      </c>
      <c r="O1" s="22"/>
      <c r="P1" s="23"/>
      <c r="Q1" s="24"/>
    </row>
    <row r="2" spans="1:21" ht="17.399999999999999" customHeight="1" x14ac:dyDescent="0.3">
      <c r="A2" s="156" t="s">
        <v>45</v>
      </c>
      <c r="B2" s="149"/>
      <c r="C2" s="149"/>
      <c r="D2" s="149"/>
      <c r="E2" s="149"/>
      <c r="F2" s="149"/>
      <c r="G2" s="149"/>
      <c r="H2" s="97" t="s">
        <v>44</v>
      </c>
      <c r="I2" s="97" t="s">
        <v>46</v>
      </c>
      <c r="J2" s="194" t="s">
        <v>208</v>
      </c>
      <c r="K2" s="194"/>
      <c r="L2" s="194"/>
      <c r="M2" s="194"/>
      <c r="N2" s="194"/>
      <c r="O2" s="194"/>
      <c r="P2" s="195"/>
      <c r="Q2" s="194"/>
      <c r="R2" s="7"/>
      <c r="S2" s="7"/>
      <c r="T2" s="7"/>
      <c r="U2" s="7"/>
    </row>
    <row r="3" spans="1:21" ht="17.399999999999999" customHeight="1" x14ac:dyDescent="0.3">
      <c r="A3" s="129">
        <v>1</v>
      </c>
      <c r="B3" s="2"/>
      <c r="C3" s="2"/>
      <c r="D3" s="2"/>
      <c r="E3" s="1"/>
      <c r="F3" s="2"/>
      <c r="G3" s="2"/>
      <c r="H3" s="13"/>
      <c r="I3" s="14"/>
      <c r="J3" s="9"/>
      <c r="K3" s="2"/>
      <c r="L3" s="2"/>
      <c r="M3" s="2"/>
      <c r="N3" s="2"/>
      <c r="O3" s="2"/>
      <c r="P3" s="2"/>
      <c r="Q3" s="2"/>
    </row>
    <row r="4" spans="1:21" ht="17.399999999999999" customHeight="1" x14ac:dyDescent="0.3">
      <c r="A4" s="157">
        <f>A3+1</f>
        <v>2</v>
      </c>
      <c r="B4" s="150"/>
      <c r="C4" s="150"/>
      <c r="D4" s="150"/>
      <c r="E4" s="150"/>
      <c r="F4" s="150"/>
      <c r="G4" s="150"/>
      <c r="H4" s="15"/>
      <c r="I4" s="15"/>
      <c r="J4" s="10"/>
      <c r="K4" s="150"/>
      <c r="L4" s="150"/>
      <c r="M4" s="150"/>
      <c r="N4" s="150"/>
      <c r="O4" s="150"/>
      <c r="P4" s="150"/>
      <c r="Q4" s="150"/>
    </row>
    <row r="5" spans="1:21" ht="17.399999999999999" customHeight="1" x14ac:dyDescent="0.3">
      <c r="A5" s="129">
        <f>A4+1</f>
        <v>3</v>
      </c>
      <c r="B5" s="2"/>
      <c r="C5" s="2"/>
      <c r="D5" s="2"/>
      <c r="E5" s="1"/>
      <c r="F5" s="2"/>
      <c r="G5" s="2"/>
      <c r="H5" s="14"/>
      <c r="I5" s="14"/>
      <c r="J5" s="9"/>
      <c r="K5" s="2"/>
      <c r="L5" s="2"/>
      <c r="M5" s="2"/>
      <c r="N5" s="2"/>
      <c r="O5" s="2"/>
      <c r="P5" s="2"/>
      <c r="Q5" s="2"/>
    </row>
    <row r="6" spans="1:21" ht="17.399999999999999" customHeight="1" x14ac:dyDescent="0.3">
      <c r="A6" s="157">
        <f t="shared" ref="A6:A22" si="0">A5+1</f>
        <v>4</v>
      </c>
      <c r="B6" s="150"/>
      <c r="C6" s="150"/>
      <c r="D6" s="150"/>
      <c r="E6" s="150"/>
      <c r="F6" s="150"/>
      <c r="G6" s="150"/>
      <c r="H6" s="15"/>
      <c r="I6" s="15"/>
      <c r="J6" s="10"/>
      <c r="K6" s="150"/>
      <c r="L6" s="150"/>
      <c r="M6" s="150"/>
      <c r="N6" s="150"/>
      <c r="O6" s="150"/>
      <c r="P6" s="150"/>
      <c r="Q6" s="150"/>
    </row>
    <row r="7" spans="1:21" ht="17.399999999999999" customHeight="1" x14ac:dyDescent="0.3">
      <c r="A7" s="129">
        <f t="shared" si="0"/>
        <v>5</v>
      </c>
      <c r="B7" s="2"/>
      <c r="C7" s="2"/>
      <c r="D7" s="2"/>
      <c r="E7" s="1"/>
      <c r="F7" s="2"/>
      <c r="G7" s="2"/>
      <c r="H7" s="14"/>
      <c r="I7" s="14"/>
      <c r="J7" s="9"/>
      <c r="K7" s="2"/>
      <c r="L7" s="2"/>
      <c r="M7" s="2"/>
      <c r="N7" s="2"/>
      <c r="O7" s="2"/>
      <c r="P7" s="2"/>
      <c r="Q7" s="2"/>
    </row>
    <row r="8" spans="1:21" ht="17.399999999999999" customHeight="1" x14ac:dyDescent="0.3">
      <c r="A8" s="157">
        <f t="shared" si="0"/>
        <v>6</v>
      </c>
      <c r="B8" s="150"/>
      <c r="C8" s="150"/>
      <c r="D8" s="150"/>
      <c r="E8" s="150"/>
      <c r="F8" s="150"/>
      <c r="G8" s="150"/>
      <c r="H8" s="15"/>
      <c r="I8" s="15"/>
      <c r="J8" s="10"/>
      <c r="K8" s="150"/>
      <c r="L8" s="150"/>
      <c r="M8" s="150"/>
      <c r="N8" s="150"/>
      <c r="O8" s="150"/>
      <c r="P8" s="150"/>
      <c r="Q8" s="150"/>
    </row>
    <row r="9" spans="1:21" ht="17.399999999999999" customHeight="1" x14ac:dyDescent="0.3">
      <c r="A9" s="129">
        <f t="shared" si="0"/>
        <v>7</v>
      </c>
      <c r="B9" s="2"/>
      <c r="C9" s="2"/>
      <c r="D9" s="2"/>
      <c r="E9" s="1"/>
      <c r="F9" s="2"/>
      <c r="G9" s="2"/>
      <c r="H9" s="14"/>
      <c r="I9" s="14"/>
      <c r="J9" s="9"/>
      <c r="K9" s="2"/>
      <c r="L9" s="2"/>
      <c r="M9" s="2"/>
      <c r="N9" s="2"/>
      <c r="O9" s="2"/>
      <c r="P9" s="2"/>
      <c r="Q9" s="2"/>
    </row>
    <row r="10" spans="1:21" ht="17.399999999999999" customHeight="1" x14ac:dyDescent="0.3">
      <c r="A10" s="157">
        <f t="shared" si="0"/>
        <v>8</v>
      </c>
      <c r="B10" s="150"/>
      <c r="C10" s="150"/>
      <c r="D10" s="150"/>
      <c r="E10" s="150"/>
      <c r="F10" s="150"/>
      <c r="G10" s="150"/>
      <c r="H10" s="15"/>
      <c r="I10" s="15"/>
      <c r="J10" s="10"/>
      <c r="K10" s="150"/>
      <c r="L10" s="150"/>
      <c r="M10" s="150"/>
      <c r="N10" s="150"/>
      <c r="O10" s="150"/>
      <c r="P10" s="150"/>
      <c r="Q10" s="150"/>
    </row>
    <row r="11" spans="1:21" ht="17.399999999999999" customHeight="1" x14ac:dyDescent="0.3">
      <c r="A11" s="129">
        <f t="shared" si="0"/>
        <v>9</v>
      </c>
      <c r="B11" s="2"/>
      <c r="C11" s="2"/>
      <c r="D11" s="2"/>
      <c r="E11" s="1"/>
      <c r="F11" s="2"/>
      <c r="G11" s="2"/>
      <c r="H11" s="14"/>
      <c r="I11" s="14"/>
      <c r="J11" s="9"/>
      <c r="K11" s="2"/>
      <c r="L11" s="2"/>
      <c r="M11" s="2"/>
      <c r="N11" s="2"/>
      <c r="O11" s="2"/>
      <c r="P11" s="2"/>
      <c r="Q11" s="2"/>
    </row>
    <row r="12" spans="1:21" ht="17.399999999999999" customHeight="1" x14ac:dyDescent="0.3">
      <c r="A12" s="157">
        <f t="shared" si="0"/>
        <v>10</v>
      </c>
      <c r="B12" s="150"/>
      <c r="C12" s="150"/>
      <c r="D12" s="150"/>
      <c r="E12" s="150"/>
      <c r="F12" s="150"/>
      <c r="G12" s="150"/>
      <c r="H12" s="15"/>
      <c r="I12" s="15"/>
      <c r="J12" s="10"/>
      <c r="K12" s="150"/>
      <c r="L12" s="150"/>
      <c r="M12" s="150"/>
      <c r="N12" s="150"/>
      <c r="O12" s="150"/>
      <c r="P12" s="150"/>
      <c r="Q12" s="150"/>
    </row>
    <row r="13" spans="1:21" ht="17.399999999999999" customHeight="1" x14ac:dyDescent="0.3">
      <c r="A13" s="129">
        <f t="shared" si="0"/>
        <v>11</v>
      </c>
      <c r="B13" s="2"/>
      <c r="C13" s="2"/>
      <c r="D13" s="2"/>
      <c r="E13" s="1"/>
      <c r="F13" s="2"/>
      <c r="G13" s="2"/>
      <c r="H13" s="14"/>
      <c r="I13" s="14"/>
      <c r="J13" s="9"/>
      <c r="K13" s="2"/>
      <c r="L13" s="2"/>
      <c r="M13" s="2"/>
      <c r="N13" s="2"/>
      <c r="O13" s="2"/>
      <c r="P13" s="2"/>
      <c r="Q13" s="2"/>
    </row>
    <row r="14" spans="1:21" ht="17.399999999999999" customHeight="1" x14ac:dyDescent="0.3">
      <c r="A14" s="157">
        <f t="shared" si="0"/>
        <v>12</v>
      </c>
      <c r="B14" s="150"/>
      <c r="C14" s="150"/>
      <c r="D14" s="150"/>
      <c r="E14" s="150"/>
      <c r="F14" s="150"/>
      <c r="G14" s="150"/>
      <c r="H14" s="15"/>
      <c r="I14" s="15"/>
      <c r="J14" s="10"/>
      <c r="K14" s="150"/>
      <c r="L14" s="150"/>
      <c r="M14" s="150"/>
      <c r="N14" s="150"/>
      <c r="O14" s="150"/>
      <c r="P14" s="150"/>
      <c r="Q14" s="150"/>
    </row>
    <row r="15" spans="1:21" ht="17.399999999999999" customHeight="1" x14ac:dyDescent="0.3">
      <c r="A15" s="129">
        <f t="shared" si="0"/>
        <v>13</v>
      </c>
      <c r="B15" s="2"/>
      <c r="C15" s="2"/>
      <c r="D15" s="2"/>
      <c r="E15" s="1"/>
      <c r="F15" s="2"/>
      <c r="G15" s="2"/>
      <c r="H15" s="14"/>
      <c r="I15" s="14"/>
      <c r="J15" s="9"/>
      <c r="K15" s="2"/>
      <c r="L15" s="2"/>
      <c r="M15" s="2"/>
      <c r="N15" s="2"/>
      <c r="O15" s="2"/>
      <c r="P15" s="2"/>
      <c r="Q15" s="2"/>
    </row>
    <row r="16" spans="1:21" ht="17.399999999999999" customHeight="1" x14ac:dyDescent="0.3">
      <c r="A16" s="157">
        <f t="shared" si="0"/>
        <v>14</v>
      </c>
      <c r="B16" s="150"/>
      <c r="C16" s="150"/>
      <c r="D16" s="150"/>
      <c r="E16" s="150"/>
      <c r="F16" s="150"/>
      <c r="G16" s="150"/>
      <c r="H16" s="15"/>
      <c r="I16" s="15"/>
      <c r="J16" s="10"/>
      <c r="K16" s="150"/>
      <c r="L16" s="150"/>
      <c r="M16" s="150"/>
      <c r="N16" s="150"/>
      <c r="O16" s="150"/>
      <c r="P16" s="150"/>
      <c r="Q16" s="150"/>
    </row>
    <row r="17" spans="1:21" ht="17.399999999999999" customHeight="1" x14ac:dyDescent="0.3">
      <c r="A17" s="129">
        <f t="shared" si="0"/>
        <v>15</v>
      </c>
      <c r="B17" s="2"/>
      <c r="C17" s="2"/>
      <c r="D17" s="2"/>
      <c r="E17" s="1"/>
      <c r="F17" s="2"/>
      <c r="G17" s="2"/>
      <c r="H17" s="14"/>
      <c r="I17" s="14"/>
      <c r="J17" s="9"/>
      <c r="K17" s="2"/>
      <c r="L17" s="2"/>
      <c r="M17" s="2"/>
      <c r="N17" s="2"/>
      <c r="O17" s="2"/>
      <c r="P17" s="2"/>
      <c r="Q17" s="2"/>
    </row>
    <row r="18" spans="1:21" ht="17.399999999999999" customHeight="1" x14ac:dyDescent="0.3">
      <c r="A18" s="157">
        <f t="shared" si="0"/>
        <v>16</v>
      </c>
      <c r="B18" s="150"/>
      <c r="C18" s="150"/>
      <c r="D18" s="150"/>
      <c r="E18" s="150"/>
      <c r="F18" s="150"/>
      <c r="G18" s="150"/>
      <c r="H18" s="15"/>
      <c r="I18" s="15"/>
      <c r="J18" s="10"/>
      <c r="K18" s="150"/>
      <c r="L18" s="150"/>
      <c r="M18" s="150"/>
      <c r="N18" s="150"/>
      <c r="O18" s="150"/>
      <c r="P18" s="150"/>
      <c r="Q18" s="150"/>
    </row>
    <row r="19" spans="1:21" ht="17.399999999999999" customHeight="1" x14ac:dyDescent="0.3">
      <c r="A19" s="129">
        <f t="shared" si="0"/>
        <v>17</v>
      </c>
      <c r="B19" s="2"/>
      <c r="C19" s="2"/>
      <c r="D19" s="2"/>
      <c r="E19" s="1"/>
      <c r="F19" s="2"/>
      <c r="G19" s="2"/>
      <c r="H19" s="14"/>
      <c r="I19" s="14"/>
      <c r="J19" s="9"/>
      <c r="K19" s="2"/>
      <c r="L19" s="2"/>
      <c r="M19" s="2"/>
      <c r="N19" s="2"/>
      <c r="O19" s="2"/>
      <c r="P19" s="2"/>
      <c r="Q19" s="2"/>
    </row>
    <row r="20" spans="1:21" ht="17.399999999999999" customHeight="1" x14ac:dyDescent="0.3">
      <c r="A20" s="158">
        <f t="shared" si="0"/>
        <v>18</v>
      </c>
      <c r="B20" s="151"/>
      <c r="C20" s="150"/>
      <c r="D20" s="150"/>
      <c r="E20" s="150"/>
      <c r="F20" s="150"/>
      <c r="G20" s="150"/>
      <c r="H20" s="15"/>
      <c r="I20" s="15"/>
      <c r="J20" s="10"/>
      <c r="K20" s="150"/>
      <c r="L20" s="150"/>
      <c r="M20" s="150"/>
      <c r="N20" s="150"/>
      <c r="O20" s="150"/>
      <c r="P20" s="150"/>
      <c r="Q20" s="150"/>
    </row>
    <row r="21" spans="1:21" ht="17.399999999999999" customHeight="1" x14ac:dyDescent="0.3">
      <c r="A21" s="98">
        <f t="shared" si="0"/>
        <v>19</v>
      </c>
      <c r="B21" s="2"/>
      <c r="C21" s="2"/>
      <c r="D21" s="2"/>
      <c r="E21" s="1"/>
      <c r="F21" s="2"/>
      <c r="G21" s="2"/>
      <c r="H21" s="14"/>
      <c r="I21" s="14"/>
      <c r="J21" s="9"/>
      <c r="K21" s="2"/>
      <c r="L21" s="2"/>
      <c r="M21" s="2"/>
      <c r="N21" s="2"/>
      <c r="O21" s="2"/>
      <c r="P21" s="2"/>
      <c r="Q21" s="2"/>
    </row>
    <row r="22" spans="1:21" ht="17.399999999999999" customHeight="1" x14ac:dyDescent="0.3">
      <c r="A22" s="158">
        <f t="shared" si="0"/>
        <v>20</v>
      </c>
      <c r="B22" s="150"/>
      <c r="C22" s="11"/>
      <c r="D22" s="11"/>
      <c r="E22" s="11"/>
      <c r="F22" s="11"/>
      <c r="G22" s="11"/>
      <c r="H22" s="16"/>
      <c r="I22" s="16"/>
      <c r="J22" s="12"/>
      <c r="K22" s="11"/>
      <c r="L22" s="11"/>
      <c r="M22" s="11"/>
      <c r="N22" s="11"/>
      <c r="O22" s="11"/>
      <c r="P22" s="11"/>
      <c r="Q22" s="11"/>
    </row>
    <row r="23" spans="1:21" ht="14.4" customHeight="1" x14ac:dyDescent="0.3">
      <c r="A23" s="161"/>
      <c r="B23" s="162"/>
      <c r="P23" s="152"/>
      <c r="Q23" s="20" t="s">
        <v>225</v>
      </c>
    </row>
    <row r="24" spans="1:21" ht="17.399999999999999" customHeight="1" x14ac:dyDescent="0.3">
      <c r="A24" s="196" t="s">
        <v>206</v>
      </c>
      <c r="B24" s="197"/>
      <c r="C24" s="17" t="s">
        <v>8</v>
      </c>
      <c r="D24" s="17" t="s">
        <v>8</v>
      </c>
      <c r="E24" s="17" t="s">
        <v>8</v>
      </c>
      <c r="F24" s="17" t="s">
        <v>8</v>
      </c>
      <c r="G24" s="17" t="s">
        <v>8</v>
      </c>
      <c r="H24" s="17" t="s">
        <v>8</v>
      </c>
      <c r="I24" s="17" t="s">
        <v>8</v>
      </c>
      <c r="J24" s="17" t="s">
        <v>8</v>
      </c>
      <c r="K24" s="17" t="s">
        <v>8</v>
      </c>
      <c r="L24" s="17" t="s">
        <v>8</v>
      </c>
      <c r="M24" s="17" t="s">
        <v>8</v>
      </c>
      <c r="N24" s="17" t="s">
        <v>8</v>
      </c>
      <c r="O24" s="17" t="s">
        <v>8</v>
      </c>
      <c r="P24" s="17" t="s">
        <v>8</v>
      </c>
      <c r="Q24" s="155" t="s">
        <v>8</v>
      </c>
    </row>
    <row r="25" spans="1:21" ht="17.399999999999999" customHeight="1" x14ac:dyDescent="0.3">
      <c r="A25" s="159"/>
      <c r="B25" s="160"/>
      <c r="C25" s="8">
        <v>-3</v>
      </c>
      <c r="D25" s="8">
        <f t="shared" ref="D25:Q25" si="1">C25+1</f>
        <v>-2</v>
      </c>
      <c r="E25" s="8">
        <f t="shared" si="1"/>
        <v>-1</v>
      </c>
      <c r="F25" s="8">
        <f t="shared" si="1"/>
        <v>0</v>
      </c>
      <c r="G25" s="8">
        <f t="shared" si="1"/>
        <v>1</v>
      </c>
      <c r="H25" s="8">
        <f t="shared" si="1"/>
        <v>2</v>
      </c>
      <c r="I25" s="8">
        <f t="shared" si="1"/>
        <v>3</v>
      </c>
      <c r="J25" s="8">
        <f t="shared" si="1"/>
        <v>4</v>
      </c>
      <c r="K25" s="8">
        <f t="shared" si="1"/>
        <v>5</v>
      </c>
      <c r="L25" s="8">
        <f t="shared" si="1"/>
        <v>6</v>
      </c>
      <c r="M25" s="8">
        <f t="shared" si="1"/>
        <v>7</v>
      </c>
      <c r="N25" s="8">
        <f t="shared" si="1"/>
        <v>8</v>
      </c>
      <c r="O25" s="8">
        <f t="shared" si="1"/>
        <v>9</v>
      </c>
      <c r="P25" s="8">
        <f t="shared" si="1"/>
        <v>10</v>
      </c>
      <c r="Q25" s="8">
        <f t="shared" si="1"/>
        <v>11</v>
      </c>
      <c r="R25" s="1"/>
      <c r="S25" s="1"/>
      <c r="T25" s="1"/>
      <c r="U25" s="1"/>
    </row>
    <row r="26" spans="1:21" ht="14.4" customHeight="1" x14ac:dyDescent="0.3">
      <c r="A26" s="198">
        <v>19</v>
      </c>
      <c r="B26" s="199"/>
      <c r="C26" s="153">
        <f>$A26-C$25</f>
        <v>22</v>
      </c>
      <c r="D26" s="153">
        <f t="shared" ref="D26:Q26" si="2">$A26-D$25</f>
        <v>21</v>
      </c>
      <c r="E26" s="153">
        <f t="shared" si="2"/>
        <v>20</v>
      </c>
      <c r="F26" s="153">
        <f t="shared" si="2"/>
        <v>19</v>
      </c>
      <c r="G26" s="153">
        <f t="shared" si="2"/>
        <v>18</v>
      </c>
      <c r="H26" s="153">
        <f t="shared" si="2"/>
        <v>17</v>
      </c>
      <c r="I26" s="153">
        <f t="shared" si="2"/>
        <v>16</v>
      </c>
      <c r="J26" s="153">
        <f t="shared" si="2"/>
        <v>15</v>
      </c>
      <c r="K26" s="153">
        <f t="shared" si="2"/>
        <v>14</v>
      </c>
      <c r="L26" s="153">
        <f t="shared" si="2"/>
        <v>13</v>
      </c>
      <c r="M26" s="153">
        <f t="shared" si="2"/>
        <v>12</v>
      </c>
      <c r="N26" s="153">
        <f t="shared" si="2"/>
        <v>11</v>
      </c>
      <c r="O26" s="153">
        <f t="shared" si="2"/>
        <v>10</v>
      </c>
      <c r="P26" s="153">
        <f t="shared" si="2"/>
        <v>9</v>
      </c>
      <c r="Q26" s="153">
        <f t="shared" si="2"/>
        <v>8</v>
      </c>
    </row>
    <row r="27" spans="1:21" ht="14.4" customHeight="1" x14ac:dyDescent="0.3">
      <c r="A27" s="200">
        <v>18</v>
      </c>
      <c r="B27" s="201"/>
      <c r="C27" s="154">
        <f t="shared" ref="C27:Q34" si="3">$A27-C$25</f>
        <v>21</v>
      </c>
      <c r="D27" s="154">
        <f t="shared" si="3"/>
        <v>20</v>
      </c>
      <c r="E27" s="154">
        <f t="shared" si="3"/>
        <v>19</v>
      </c>
      <c r="F27" s="154">
        <f t="shared" si="3"/>
        <v>18</v>
      </c>
      <c r="G27" s="154">
        <f t="shared" si="3"/>
        <v>17</v>
      </c>
      <c r="H27" s="154">
        <f t="shared" si="3"/>
        <v>16</v>
      </c>
      <c r="I27" s="154">
        <f t="shared" si="3"/>
        <v>15</v>
      </c>
      <c r="J27" s="154">
        <f t="shared" si="3"/>
        <v>14</v>
      </c>
      <c r="K27" s="154">
        <f t="shared" si="3"/>
        <v>13</v>
      </c>
      <c r="L27" s="154">
        <f t="shared" si="3"/>
        <v>12</v>
      </c>
      <c r="M27" s="154">
        <f t="shared" si="3"/>
        <v>11</v>
      </c>
      <c r="N27" s="154">
        <f t="shared" si="3"/>
        <v>10</v>
      </c>
      <c r="O27" s="154">
        <f t="shared" si="3"/>
        <v>9</v>
      </c>
      <c r="P27" s="154">
        <f t="shared" si="3"/>
        <v>8</v>
      </c>
      <c r="Q27" s="154">
        <f t="shared" si="3"/>
        <v>7</v>
      </c>
    </row>
    <row r="28" spans="1:21" ht="14.4" customHeight="1" x14ac:dyDescent="0.3">
      <c r="A28" s="199">
        <v>17</v>
      </c>
      <c r="B28" s="199"/>
      <c r="C28" s="153">
        <f t="shared" si="3"/>
        <v>20</v>
      </c>
      <c r="D28" s="153">
        <f t="shared" si="3"/>
        <v>19</v>
      </c>
      <c r="E28" s="153">
        <f t="shared" si="3"/>
        <v>18</v>
      </c>
      <c r="F28" s="153">
        <f t="shared" si="3"/>
        <v>17</v>
      </c>
      <c r="G28" s="153">
        <f t="shared" si="3"/>
        <v>16</v>
      </c>
      <c r="H28" s="153">
        <f t="shared" si="3"/>
        <v>15</v>
      </c>
      <c r="I28" s="153">
        <f t="shared" si="3"/>
        <v>14</v>
      </c>
      <c r="J28" s="153">
        <f t="shared" si="3"/>
        <v>13</v>
      </c>
      <c r="K28" s="153">
        <f t="shared" si="3"/>
        <v>12</v>
      </c>
      <c r="L28" s="153">
        <f t="shared" si="3"/>
        <v>11</v>
      </c>
      <c r="M28" s="153">
        <f t="shared" si="3"/>
        <v>10</v>
      </c>
      <c r="N28" s="153">
        <f t="shared" si="3"/>
        <v>9</v>
      </c>
      <c r="O28" s="153">
        <f t="shared" si="3"/>
        <v>8</v>
      </c>
      <c r="P28" s="153">
        <f t="shared" si="3"/>
        <v>7</v>
      </c>
      <c r="Q28" s="153">
        <f t="shared" si="3"/>
        <v>6</v>
      </c>
    </row>
    <row r="29" spans="1:21" ht="14.4" customHeight="1" x14ac:dyDescent="0.3">
      <c r="A29" s="201">
        <v>16</v>
      </c>
      <c r="B29" s="201"/>
      <c r="C29" s="154">
        <f t="shared" si="3"/>
        <v>19</v>
      </c>
      <c r="D29" s="154">
        <f t="shared" si="3"/>
        <v>18</v>
      </c>
      <c r="E29" s="154">
        <f t="shared" si="3"/>
        <v>17</v>
      </c>
      <c r="F29" s="154">
        <f t="shared" si="3"/>
        <v>16</v>
      </c>
      <c r="G29" s="154">
        <f t="shared" si="3"/>
        <v>15</v>
      </c>
      <c r="H29" s="154">
        <f t="shared" si="3"/>
        <v>14</v>
      </c>
      <c r="I29" s="154">
        <f t="shared" si="3"/>
        <v>13</v>
      </c>
      <c r="J29" s="154">
        <f t="shared" si="3"/>
        <v>12</v>
      </c>
      <c r="K29" s="154">
        <f t="shared" si="3"/>
        <v>11</v>
      </c>
      <c r="L29" s="154">
        <f t="shared" si="3"/>
        <v>10</v>
      </c>
      <c r="M29" s="154">
        <f t="shared" si="3"/>
        <v>9</v>
      </c>
      <c r="N29" s="154">
        <f t="shared" si="3"/>
        <v>8</v>
      </c>
      <c r="O29" s="154">
        <f t="shared" si="3"/>
        <v>7</v>
      </c>
      <c r="P29" s="154">
        <f t="shared" si="3"/>
        <v>6</v>
      </c>
      <c r="Q29" s="154">
        <f t="shared" si="3"/>
        <v>5</v>
      </c>
    </row>
    <row r="30" spans="1:21" ht="14.4" customHeight="1" x14ac:dyDescent="0.3">
      <c r="A30" s="199">
        <v>15</v>
      </c>
      <c r="B30" s="199"/>
      <c r="C30" s="153">
        <f t="shared" si="3"/>
        <v>18</v>
      </c>
      <c r="D30" s="153">
        <f t="shared" si="3"/>
        <v>17</v>
      </c>
      <c r="E30" s="153">
        <f t="shared" si="3"/>
        <v>16</v>
      </c>
      <c r="F30" s="153">
        <f t="shared" si="3"/>
        <v>15</v>
      </c>
      <c r="G30" s="153">
        <f t="shared" si="3"/>
        <v>14</v>
      </c>
      <c r="H30" s="153">
        <f t="shared" si="3"/>
        <v>13</v>
      </c>
      <c r="I30" s="153">
        <f t="shared" si="3"/>
        <v>12</v>
      </c>
      <c r="J30" s="153">
        <f t="shared" si="3"/>
        <v>11</v>
      </c>
      <c r="K30" s="153">
        <f t="shared" si="3"/>
        <v>10</v>
      </c>
      <c r="L30" s="153">
        <f t="shared" si="3"/>
        <v>9</v>
      </c>
      <c r="M30" s="153">
        <f t="shared" si="3"/>
        <v>8</v>
      </c>
      <c r="N30" s="153">
        <f t="shared" si="3"/>
        <v>7</v>
      </c>
      <c r="O30" s="153">
        <f t="shared" si="3"/>
        <v>6</v>
      </c>
      <c r="P30" s="153">
        <f t="shared" si="3"/>
        <v>5</v>
      </c>
      <c r="Q30" s="153">
        <f t="shared" si="3"/>
        <v>4</v>
      </c>
    </row>
    <row r="31" spans="1:21" ht="14.4" customHeight="1" x14ac:dyDescent="0.3">
      <c r="A31" s="201">
        <v>14</v>
      </c>
      <c r="B31" s="201"/>
      <c r="C31" s="154">
        <f t="shared" si="3"/>
        <v>17</v>
      </c>
      <c r="D31" s="154">
        <f t="shared" si="3"/>
        <v>16</v>
      </c>
      <c r="E31" s="154">
        <f t="shared" si="3"/>
        <v>15</v>
      </c>
      <c r="F31" s="154">
        <f t="shared" si="3"/>
        <v>14</v>
      </c>
      <c r="G31" s="154">
        <f t="shared" si="3"/>
        <v>13</v>
      </c>
      <c r="H31" s="154">
        <f t="shared" si="3"/>
        <v>12</v>
      </c>
      <c r="I31" s="154">
        <f t="shared" si="3"/>
        <v>11</v>
      </c>
      <c r="J31" s="154">
        <f t="shared" si="3"/>
        <v>10</v>
      </c>
      <c r="K31" s="154">
        <f t="shared" si="3"/>
        <v>9</v>
      </c>
      <c r="L31" s="154">
        <f t="shared" si="3"/>
        <v>8</v>
      </c>
      <c r="M31" s="154">
        <f t="shared" si="3"/>
        <v>7</v>
      </c>
      <c r="N31" s="154">
        <f t="shared" si="3"/>
        <v>6</v>
      </c>
      <c r="O31" s="154">
        <f t="shared" si="3"/>
        <v>5</v>
      </c>
      <c r="P31" s="154">
        <f t="shared" si="3"/>
        <v>4</v>
      </c>
      <c r="Q31" s="154">
        <f t="shared" si="3"/>
        <v>3</v>
      </c>
    </row>
    <row r="32" spans="1:21" ht="14.4" customHeight="1" x14ac:dyDescent="0.3">
      <c r="A32" s="199">
        <v>13</v>
      </c>
      <c r="B32" s="199"/>
      <c r="C32" s="153">
        <f t="shared" si="3"/>
        <v>16</v>
      </c>
      <c r="D32" s="153">
        <f t="shared" si="3"/>
        <v>15</v>
      </c>
      <c r="E32" s="153">
        <f t="shared" si="3"/>
        <v>14</v>
      </c>
      <c r="F32" s="153">
        <f t="shared" si="3"/>
        <v>13</v>
      </c>
      <c r="G32" s="153">
        <f t="shared" si="3"/>
        <v>12</v>
      </c>
      <c r="H32" s="153">
        <f t="shared" si="3"/>
        <v>11</v>
      </c>
      <c r="I32" s="153">
        <f t="shared" si="3"/>
        <v>10</v>
      </c>
      <c r="J32" s="153">
        <f t="shared" si="3"/>
        <v>9</v>
      </c>
      <c r="K32" s="153">
        <f t="shared" si="3"/>
        <v>8</v>
      </c>
      <c r="L32" s="153">
        <f t="shared" si="3"/>
        <v>7</v>
      </c>
      <c r="M32" s="153">
        <f t="shared" si="3"/>
        <v>6</v>
      </c>
      <c r="N32" s="153">
        <f t="shared" si="3"/>
        <v>5</v>
      </c>
      <c r="O32" s="153">
        <f t="shared" si="3"/>
        <v>4</v>
      </c>
      <c r="P32" s="153">
        <f t="shared" si="3"/>
        <v>3</v>
      </c>
      <c r="Q32" s="153">
        <f t="shared" si="3"/>
        <v>2</v>
      </c>
    </row>
    <row r="33" spans="1:17" ht="14.4" customHeight="1" x14ac:dyDescent="0.3">
      <c r="A33" s="201">
        <v>12</v>
      </c>
      <c r="B33" s="201"/>
      <c r="C33" s="154">
        <f t="shared" si="3"/>
        <v>15</v>
      </c>
      <c r="D33" s="154">
        <f t="shared" si="3"/>
        <v>14</v>
      </c>
      <c r="E33" s="154">
        <f t="shared" si="3"/>
        <v>13</v>
      </c>
      <c r="F33" s="154">
        <f t="shared" si="3"/>
        <v>12</v>
      </c>
      <c r="G33" s="154">
        <f t="shared" si="3"/>
        <v>11</v>
      </c>
      <c r="H33" s="154">
        <f t="shared" si="3"/>
        <v>10</v>
      </c>
      <c r="I33" s="154">
        <f t="shared" si="3"/>
        <v>9</v>
      </c>
      <c r="J33" s="154">
        <f t="shared" si="3"/>
        <v>8</v>
      </c>
      <c r="K33" s="154">
        <f t="shared" si="3"/>
        <v>7</v>
      </c>
      <c r="L33" s="154">
        <f t="shared" si="3"/>
        <v>6</v>
      </c>
      <c r="M33" s="154">
        <f t="shared" si="3"/>
        <v>5</v>
      </c>
      <c r="N33" s="154">
        <f t="shared" si="3"/>
        <v>4</v>
      </c>
      <c r="O33" s="154">
        <f t="shared" si="3"/>
        <v>3</v>
      </c>
      <c r="P33" s="154">
        <f t="shared" si="3"/>
        <v>2</v>
      </c>
      <c r="Q33" s="154">
        <f t="shared" si="3"/>
        <v>1</v>
      </c>
    </row>
    <row r="34" spans="1:17" ht="14.4" customHeight="1" x14ac:dyDescent="0.3">
      <c r="A34" s="199">
        <v>11</v>
      </c>
      <c r="B34" s="199"/>
      <c r="C34" s="153">
        <f t="shared" si="3"/>
        <v>14</v>
      </c>
      <c r="D34" s="153">
        <f t="shared" si="3"/>
        <v>13</v>
      </c>
      <c r="E34" s="153">
        <f t="shared" si="3"/>
        <v>12</v>
      </c>
      <c r="F34" s="153">
        <f t="shared" si="3"/>
        <v>11</v>
      </c>
      <c r="G34" s="153">
        <f t="shared" si="3"/>
        <v>10</v>
      </c>
      <c r="H34" s="153">
        <f t="shared" si="3"/>
        <v>9</v>
      </c>
      <c r="I34" s="153">
        <f t="shared" si="3"/>
        <v>8</v>
      </c>
      <c r="J34" s="153">
        <f t="shared" si="3"/>
        <v>7</v>
      </c>
      <c r="K34" s="153">
        <f t="shared" si="3"/>
        <v>6</v>
      </c>
      <c r="L34" s="153">
        <f t="shared" si="3"/>
        <v>5</v>
      </c>
      <c r="M34" s="153">
        <f t="shared" si="3"/>
        <v>4</v>
      </c>
      <c r="N34" s="153">
        <f t="shared" si="3"/>
        <v>3</v>
      </c>
      <c r="O34" s="153">
        <f t="shared" si="3"/>
        <v>2</v>
      </c>
      <c r="P34" s="153">
        <f t="shared" si="3"/>
        <v>1</v>
      </c>
      <c r="Q34" s="153">
        <f t="shared" si="3"/>
        <v>0</v>
      </c>
    </row>
    <row r="35" spans="1:17" ht="14.4" customHeight="1" x14ac:dyDescent="0.3">
      <c r="A35" s="162"/>
      <c r="B35" s="163"/>
      <c r="C35" s="162"/>
      <c r="D35" s="162"/>
      <c r="E35" s="162"/>
      <c r="F35" s="162"/>
      <c r="G35" s="162"/>
      <c r="H35" s="162"/>
      <c r="I35" s="162"/>
      <c r="J35" s="162"/>
      <c r="K35" s="162"/>
      <c r="L35" s="162"/>
      <c r="M35" s="162"/>
      <c r="N35" s="162"/>
      <c r="O35" s="162"/>
      <c r="P35" s="162"/>
      <c r="Q35" s="162"/>
    </row>
    <row r="36" spans="1:17" ht="12.6" customHeight="1" x14ac:dyDescent="0.3">
      <c r="A36" s="101" t="s">
        <v>46</v>
      </c>
      <c r="B36" s="102" t="s">
        <v>48</v>
      </c>
      <c r="C36" s="101"/>
      <c r="D36" s="101"/>
      <c r="E36" s="101"/>
      <c r="F36" s="101"/>
      <c r="G36" s="101"/>
      <c r="H36" s="101"/>
      <c r="I36" s="101"/>
      <c r="J36" s="101"/>
      <c r="K36" s="103" t="s">
        <v>216</v>
      </c>
      <c r="L36" s="104"/>
      <c r="M36" s="105" t="s">
        <v>8</v>
      </c>
      <c r="N36" s="105" t="s">
        <v>46</v>
      </c>
      <c r="O36" s="105" t="s">
        <v>217</v>
      </c>
      <c r="P36" s="105" t="s">
        <v>218</v>
      </c>
      <c r="Q36" s="105" t="s">
        <v>219</v>
      </c>
    </row>
    <row r="37" spans="1:17" ht="12.6" customHeight="1" x14ac:dyDescent="0.3">
      <c r="A37" s="99">
        <v>0</v>
      </c>
      <c r="B37" s="100" t="s">
        <v>248</v>
      </c>
      <c r="K37" s="98" t="s">
        <v>209</v>
      </c>
      <c r="L37" s="2"/>
      <c r="M37" s="106">
        <v>9</v>
      </c>
      <c r="N37" s="106">
        <v>0</v>
      </c>
      <c r="O37" s="106" t="s">
        <v>220</v>
      </c>
      <c r="P37" s="106" t="s">
        <v>221</v>
      </c>
      <c r="Q37" s="106" t="s">
        <v>222</v>
      </c>
    </row>
    <row r="38" spans="1:17" ht="12.6" customHeight="1" x14ac:dyDescent="0.3">
      <c r="A38" s="99" t="s">
        <v>250</v>
      </c>
      <c r="B38" s="110" t="s">
        <v>249</v>
      </c>
      <c r="C38" s="111"/>
      <c r="D38" s="111"/>
      <c r="E38" s="111"/>
      <c r="F38" s="111"/>
      <c r="G38" s="111"/>
      <c r="H38" s="111"/>
      <c r="I38" s="111"/>
      <c r="J38" s="111"/>
      <c r="K38" s="107" t="s">
        <v>260</v>
      </c>
      <c r="L38" s="108"/>
      <c r="M38" s="109">
        <v>8</v>
      </c>
      <c r="N38" s="109">
        <v>1</v>
      </c>
      <c r="O38" s="109" t="s">
        <v>220</v>
      </c>
      <c r="P38" s="109" t="s">
        <v>221</v>
      </c>
      <c r="Q38" s="109" t="s">
        <v>222</v>
      </c>
    </row>
    <row r="39" spans="1:17" ht="12.6" customHeight="1" x14ac:dyDescent="0.3">
      <c r="A39" s="99" t="s">
        <v>251</v>
      </c>
      <c r="B39" s="112" t="s">
        <v>252</v>
      </c>
      <c r="K39" s="98" t="s">
        <v>210</v>
      </c>
      <c r="L39" s="2"/>
      <c r="M39" s="106">
        <v>7</v>
      </c>
      <c r="N39" s="106">
        <v>2</v>
      </c>
      <c r="O39" s="106" t="s">
        <v>220</v>
      </c>
      <c r="P39" s="106" t="s">
        <v>221</v>
      </c>
      <c r="Q39" s="106" t="s">
        <v>222</v>
      </c>
    </row>
    <row r="40" spans="1:17" ht="12.6" customHeight="1" x14ac:dyDescent="0.3">
      <c r="A40" s="99">
        <v>1</v>
      </c>
      <c r="B40" s="110" t="s">
        <v>253</v>
      </c>
      <c r="C40" s="110"/>
      <c r="D40" s="110"/>
      <c r="E40" s="110"/>
      <c r="F40" s="110"/>
      <c r="G40" s="110"/>
      <c r="H40" s="110"/>
      <c r="I40" s="110"/>
      <c r="J40" s="110"/>
      <c r="K40" s="107" t="s">
        <v>211</v>
      </c>
      <c r="L40" s="108"/>
      <c r="M40" s="109">
        <v>6</v>
      </c>
      <c r="N40" s="109">
        <v>2</v>
      </c>
      <c r="O40" s="109" t="s">
        <v>220</v>
      </c>
      <c r="P40" s="109" t="s">
        <v>221</v>
      </c>
      <c r="Q40" s="109" t="s">
        <v>222</v>
      </c>
    </row>
    <row r="41" spans="1:17" ht="12.6" customHeight="1" x14ac:dyDescent="0.3">
      <c r="A41" s="99">
        <v>2</v>
      </c>
      <c r="B41" s="112" t="s">
        <v>255</v>
      </c>
      <c r="K41" s="98" t="s">
        <v>212</v>
      </c>
      <c r="L41" s="2"/>
      <c r="M41" s="106">
        <v>5</v>
      </c>
      <c r="N41" s="106">
        <v>2</v>
      </c>
      <c r="O41" s="106" t="s">
        <v>222</v>
      </c>
      <c r="P41" s="106" t="s">
        <v>221</v>
      </c>
      <c r="Q41" s="106" t="s">
        <v>221</v>
      </c>
    </row>
    <row r="42" spans="1:17" ht="12.6" customHeight="1" x14ac:dyDescent="0.3">
      <c r="A42" s="99">
        <v>3</v>
      </c>
      <c r="B42" s="110" t="s">
        <v>254</v>
      </c>
      <c r="C42" s="110"/>
      <c r="D42" s="110"/>
      <c r="E42" s="110"/>
      <c r="F42" s="110"/>
      <c r="G42" s="110"/>
      <c r="H42" s="110"/>
      <c r="I42" s="110"/>
      <c r="J42" s="110"/>
      <c r="K42" s="107" t="s">
        <v>214</v>
      </c>
      <c r="L42" s="108"/>
      <c r="M42" s="109">
        <v>4</v>
      </c>
      <c r="N42" s="109">
        <v>3</v>
      </c>
      <c r="O42" s="109" t="s">
        <v>221</v>
      </c>
      <c r="P42" s="109" t="s">
        <v>221</v>
      </c>
      <c r="Q42" s="109" t="s">
        <v>47</v>
      </c>
    </row>
    <row r="43" spans="1:17" ht="12.6" customHeight="1" x14ac:dyDescent="0.3">
      <c r="A43" s="99"/>
      <c r="B43" s="113"/>
      <c r="C43" s="19"/>
      <c r="D43" s="19"/>
      <c r="E43" s="19"/>
      <c r="G43" s="19"/>
      <c r="H43" s="19"/>
      <c r="I43" s="19"/>
      <c r="J43" s="3"/>
      <c r="K43" s="98" t="s">
        <v>215</v>
      </c>
      <c r="L43" s="2"/>
      <c r="M43" s="106">
        <v>3</v>
      </c>
      <c r="N43" s="106">
        <v>3</v>
      </c>
      <c r="O43" s="106" t="s">
        <v>221</v>
      </c>
      <c r="P43" s="106" t="s">
        <v>221</v>
      </c>
      <c r="Q43" s="106" t="s">
        <v>47</v>
      </c>
    </row>
    <row r="44" spans="1:17" ht="12.6" customHeight="1" x14ac:dyDescent="0.3">
      <c r="A44" t="s">
        <v>257</v>
      </c>
      <c r="B44" s="113"/>
      <c r="C44" s="19"/>
      <c r="D44" s="19"/>
      <c r="E44" s="19"/>
      <c r="F44" s="114"/>
      <c r="G44" s="19"/>
      <c r="H44" s="19"/>
      <c r="I44" s="19"/>
      <c r="J44" s="3"/>
      <c r="K44" s="107" t="s">
        <v>261</v>
      </c>
      <c r="L44" s="108"/>
      <c r="M44" s="109">
        <v>2</v>
      </c>
      <c r="N44" s="109">
        <v>3</v>
      </c>
      <c r="O44" s="109" t="s">
        <v>221</v>
      </c>
      <c r="P44" s="109" t="s">
        <v>221</v>
      </c>
      <c r="Q44" s="109" t="s">
        <v>47</v>
      </c>
    </row>
    <row r="45" spans="1:17" ht="12.6" customHeight="1" x14ac:dyDescent="0.3">
      <c r="A45" t="s">
        <v>256</v>
      </c>
      <c r="B45" s="113"/>
      <c r="C45" s="19"/>
      <c r="D45" s="19"/>
      <c r="E45" s="19"/>
      <c r="F45" s="19"/>
      <c r="G45" s="19"/>
      <c r="H45" s="19"/>
      <c r="I45" s="19"/>
      <c r="J45" s="3"/>
      <c r="K45" s="98" t="s">
        <v>213</v>
      </c>
      <c r="L45" s="2"/>
      <c r="M45" s="106">
        <v>-1</v>
      </c>
      <c r="N45" s="106">
        <v>2</v>
      </c>
      <c r="O45" s="106"/>
      <c r="P45" s="106"/>
      <c r="Q45" s="106"/>
    </row>
    <row r="46" spans="1:17" ht="12.6" customHeight="1" x14ac:dyDescent="0.3">
      <c r="A46" t="s">
        <v>258</v>
      </c>
      <c r="B46" s="113"/>
      <c r="C46" s="19"/>
      <c r="D46" s="19"/>
      <c r="E46" s="19"/>
      <c r="F46" s="19"/>
      <c r="G46" s="19"/>
      <c r="H46" s="19"/>
      <c r="I46" s="19"/>
      <c r="J46" s="3"/>
      <c r="K46" s="107" t="s">
        <v>262</v>
      </c>
      <c r="L46" s="108"/>
      <c r="M46" s="109">
        <v>-2</v>
      </c>
      <c r="N46" s="109">
        <v>3</v>
      </c>
      <c r="O46" s="109" t="s">
        <v>263</v>
      </c>
      <c r="P46" s="109"/>
      <c r="Q46" s="109"/>
    </row>
    <row r="47" spans="1:17" ht="12.6" customHeight="1" x14ac:dyDescent="0.3">
      <c r="A47" t="s">
        <v>259</v>
      </c>
      <c r="B47" s="19"/>
      <c r="C47" s="19"/>
      <c r="D47" s="19"/>
      <c r="E47" s="19"/>
      <c r="F47" s="19"/>
      <c r="G47" s="19"/>
      <c r="H47" s="19"/>
      <c r="I47" s="19"/>
      <c r="J47" s="3"/>
      <c r="Q47" s="115"/>
    </row>
    <row r="48" spans="1:17" ht="12.6" customHeight="1" x14ac:dyDescent="0.3">
      <c r="A48" s="18"/>
      <c r="Q48" s="115" t="s">
        <v>207</v>
      </c>
    </row>
    <row r="49" spans="1:1" ht="12.6" customHeight="1" x14ac:dyDescent="0.3"/>
    <row r="50" spans="1:1" ht="12.6" customHeight="1" x14ac:dyDescent="0.3"/>
    <row r="51" spans="1:1" ht="17.399999999999999" customHeight="1" x14ac:dyDescent="0.3">
      <c r="A51" s="18"/>
    </row>
    <row r="52" spans="1:1" ht="17.399999999999999" customHeight="1" x14ac:dyDescent="0.3">
      <c r="A52" s="18"/>
    </row>
    <row r="53" spans="1:1" ht="17.399999999999999" customHeight="1" x14ac:dyDescent="0.3">
      <c r="A53" s="18"/>
    </row>
    <row r="54" spans="1:1" ht="17.399999999999999" customHeight="1" x14ac:dyDescent="0.3">
      <c r="A54" s="19"/>
    </row>
    <row r="55" spans="1:1" ht="17.399999999999999" customHeight="1" x14ac:dyDescent="0.3">
      <c r="A55" s="6"/>
    </row>
    <row r="56" spans="1:1" ht="17.399999999999999" customHeight="1" x14ac:dyDescent="0.3"/>
    <row r="57" spans="1:1" ht="17.399999999999999" customHeight="1" x14ac:dyDescent="0.3"/>
    <row r="58" spans="1:1" ht="17.399999999999999" customHeight="1" x14ac:dyDescent="0.3"/>
    <row r="59" spans="1:1" ht="17.399999999999999" customHeight="1" x14ac:dyDescent="0.3"/>
    <row r="60" spans="1:1" ht="17.399999999999999" customHeight="1" x14ac:dyDescent="0.3"/>
    <row r="61" spans="1:1" ht="17.399999999999999" customHeight="1" x14ac:dyDescent="0.3"/>
    <row r="62" spans="1:1" ht="17.399999999999999" customHeight="1" x14ac:dyDescent="0.3"/>
    <row r="63" spans="1:1" ht="17.399999999999999" customHeight="1" x14ac:dyDescent="0.3"/>
    <row r="64" spans="1:1" ht="17.399999999999999" customHeight="1" x14ac:dyDescent="0.3"/>
    <row r="65" ht="17.399999999999999" customHeight="1" x14ac:dyDescent="0.3"/>
    <row r="66" ht="17.399999999999999" customHeight="1" x14ac:dyDescent="0.3"/>
    <row r="67" ht="17.399999999999999" customHeight="1" x14ac:dyDescent="0.3"/>
    <row r="68" ht="17.399999999999999" customHeight="1" x14ac:dyDescent="0.3"/>
    <row r="69" ht="17.399999999999999" customHeight="1" x14ac:dyDescent="0.3"/>
  </sheetData>
  <mergeCells count="11">
    <mergeCell ref="J2:Q2"/>
    <mergeCell ref="A24:B24"/>
    <mergeCell ref="A26:B26"/>
    <mergeCell ref="A27:B27"/>
    <mergeCell ref="A34:B34"/>
    <mergeCell ref="A28:B28"/>
    <mergeCell ref="A29:B29"/>
    <mergeCell ref="A30:B30"/>
    <mergeCell ref="A31:B31"/>
    <mergeCell ref="A32:B32"/>
    <mergeCell ref="A33:B33"/>
  </mergeCells>
  <phoneticPr fontId="13" type="noConversion"/>
  <pageMargins left="0.19685039370078741" right="0.19685039370078741" top="0.35433070866141736" bottom="0.35433070866141736" header="0" footer="0"/>
  <pageSetup paperSize="9" fitToWidth="0" orientation="portrait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B6F9D-3ED0-4BE0-8E31-DC32197F8094}">
  <dimension ref="A1:P40"/>
  <sheetViews>
    <sheetView tabSelected="1" topLeftCell="A7" zoomScale="120" zoomScaleNormal="120" workbookViewId="0">
      <selection activeCell="I20" sqref="I20"/>
    </sheetView>
  </sheetViews>
  <sheetFormatPr defaultRowHeight="14.4" x14ac:dyDescent="0.3"/>
  <cols>
    <col min="1" max="1" width="27.5546875" style="175" bestFit="1" customWidth="1"/>
    <col min="2" max="2" width="5.77734375" style="174" customWidth="1"/>
    <col min="3" max="3" width="9" style="174" customWidth="1"/>
    <col min="4" max="4" width="6.33203125" style="174" customWidth="1"/>
    <col min="5" max="5" width="52.21875" style="173" customWidth="1"/>
    <col min="6" max="16384" width="8.88671875" style="173"/>
  </cols>
  <sheetData>
    <row r="1" spans="1:16" ht="21" x14ac:dyDescent="0.3">
      <c r="A1" s="177" t="s">
        <v>45</v>
      </c>
      <c r="B1" s="176" t="s">
        <v>44</v>
      </c>
      <c r="C1" s="176" t="s">
        <v>266</v>
      </c>
      <c r="D1" s="176" t="s">
        <v>46</v>
      </c>
      <c r="E1" s="174" t="s">
        <v>27</v>
      </c>
      <c r="F1" s="202" t="s">
        <v>373</v>
      </c>
      <c r="G1" s="202"/>
      <c r="H1" s="202"/>
      <c r="I1" s="202"/>
      <c r="J1" s="202"/>
      <c r="K1" s="202"/>
      <c r="L1" s="202"/>
      <c r="M1" s="202"/>
      <c r="N1" s="202"/>
      <c r="O1" s="202"/>
      <c r="P1" s="202"/>
    </row>
    <row r="2" spans="1:16" ht="28.8" x14ac:dyDescent="0.3">
      <c r="A2" s="175" t="s">
        <v>267</v>
      </c>
      <c r="B2" s="174">
        <v>6</v>
      </c>
      <c r="C2" s="174" t="s">
        <v>268</v>
      </c>
      <c r="D2" s="174">
        <v>1</v>
      </c>
      <c r="E2" s="173" t="s">
        <v>324</v>
      </c>
    </row>
    <row r="3" spans="1:16" ht="28.8" x14ac:dyDescent="0.3">
      <c r="A3" s="175" t="s">
        <v>269</v>
      </c>
      <c r="B3" s="174">
        <v>4</v>
      </c>
      <c r="C3" s="174" t="s">
        <v>268</v>
      </c>
      <c r="D3" s="174">
        <v>1</v>
      </c>
      <c r="E3" s="173" t="s">
        <v>360</v>
      </c>
    </row>
    <row r="4" spans="1:16" ht="28.8" x14ac:dyDescent="0.3">
      <c r="A4" s="175" t="s">
        <v>270</v>
      </c>
      <c r="B4" s="174">
        <v>10</v>
      </c>
      <c r="C4" s="174" t="s">
        <v>268</v>
      </c>
      <c r="D4" s="174">
        <v>1</v>
      </c>
      <c r="E4" s="173" t="s">
        <v>361</v>
      </c>
    </row>
    <row r="5" spans="1:16" ht="57.6" x14ac:dyDescent="0.3">
      <c r="A5" s="175" t="s">
        <v>271</v>
      </c>
      <c r="B5" s="174">
        <v>6</v>
      </c>
      <c r="C5" s="174" t="s">
        <v>272</v>
      </c>
      <c r="D5" s="174" t="s">
        <v>307</v>
      </c>
      <c r="E5" s="173" t="s">
        <v>362</v>
      </c>
    </row>
    <row r="6" spans="1:16" ht="28.8" x14ac:dyDescent="0.3">
      <c r="A6" s="175" t="s">
        <v>273</v>
      </c>
      <c r="B6" s="174">
        <v>4</v>
      </c>
      <c r="C6" s="174" t="s">
        <v>274</v>
      </c>
      <c r="D6" s="174">
        <v>1</v>
      </c>
      <c r="E6" s="173" t="s">
        <v>363</v>
      </c>
    </row>
    <row r="7" spans="1:16" ht="28.8" x14ac:dyDescent="0.3">
      <c r="A7" s="175" t="s">
        <v>275</v>
      </c>
      <c r="B7" s="174">
        <v>6</v>
      </c>
      <c r="C7" s="174" t="s">
        <v>276</v>
      </c>
      <c r="D7" s="174">
        <v>0</v>
      </c>
      <c r="E7" s="173" t="s">
        <v>329</v>
      </c>
    </row>
    <row r="8" spans="1:16" ht="28.8" x14ac:dyDescent="0.3">
      <c r="A8" s="175" t="s">
        <v>277</v>
      </c>
      <c r="B8" s="174">
        <v>6</v>
      </c>
      <c r="C8" s="174" t="s">
        <v>268</v>
      </c>
      <c r="D8" s="174">
        <v>1</v>
      </c>
      <c r="E8" s="173" t="s">
        <v>330</v>
      </c>
    </row>
    <row r="9" spans="1:16" ht="28.8" x14ac:dyDescent="0.3">
      <c r="A9" s="175" t="s">
        <v>278</v>
      </c>
      <c r="B9" s="174">
        <v>4</v>
      </c>
      <c r="C9" s="174" t="s">
        <v>272</v>
      </c>
      <c r="D9" s="174">
        <v>1</v>
      </c>
      <c r="E9" s="173" t="s">
        <v>331</v>
      </c>
    </row>
    <row r="10" spans="1:16" ht="28.8" x14ac:dyDescent="0.3">
      <c r="A10" s="175" t="s">
        <v>279</v>
      </c>
      <c r="B10" s="174">
        <v>2</v>
      </c>
      <c r="C10" s="174" t="s">
        <v>272</v>
      </c>
      <c r="D10" s="174">
        <v>1</v>
      </c>
      <c r="E10" s="173" t="s">
        <v>332</v>
      </c>
    </row>
    <row r="11" spans="1:16" x14ac:dyDescent="0.3">
      <c r="A11" s="175" t="s">
        <v>280</v>
      </c>
      <c r="B11" s="174">
        <v>10</v>
      </c>
      <c r="C11" s="174" t="s">
        <v>268</v>
      </c>
      <c r="D11" s="174">
        <v>0</v>
      </c>
      <c r="E11" s="173" t="s">
        <v>333</v>
      </c>
    </row>
    <row r="12" spans="1:16" ht="43.2" x14ac:dyDescent="0.3">
      <c r="A12" s="175" t="s">
        <v>281</v>
      </c>
      <c r="B12" s="174">
        <v>12</v>
      </c>
      <c r="C12" s="174" t="s">
        <v>282</v>
      </c>
      <c r="D12" s="174" t="s">
        <v>334</v>
      </c>
      <c r="E12" s="173" t="s">
        <v>364</v>
      </c>
    </row>
    <row r="13" spans="1:16" x14ac:dyDescent="0.3">
      <c r="A13" s="175" t="s">
        <v>283</v>
      </c>
      <c r="B13" s="174">
        <v>8</v>
      </c>
      <c r="C13" s="174" t="s">
        <v>276</v>
      </c>
      <c r="D13" s="174">
        <v>1</v>
      </c>
      <c r="E13" s="173" t="s">
        <v>336</v>
      </c>
    </row>
    <row r="14" spans="1:16" x14ac:dyDescent="0.3">
      <c r="A14" s="175" t="s">
        <v>284</v>
      </c>
      <c r="B14" s="174">
        <v>6</v>
      </c>
      <c r="C14" s="174" t="s">
        <v>274</v>
      </c>
      <c r="D14" s="174">
        <v>1</v>
      </c>
      <c r="E14" s="173" t="s">
        <v>337</v>
      </c>
    </row>
    <row r="15" spans="1:16" x14ac:dyDescent="0.3">
      <c r="A15" s="175" t="s">
        <v>285</v>
      </c>
      <c r="B15" s="174">
        <v>10</v>
      </c>
      <c r="C15" s="174" t="s">
        <v>338</v>
      </c>
      <c r="D15" s="174">
        <v>1</v>
      </c>
      <c r="E15" s="173" t="s">
        <v>339</v>
      </c>
    </row>
    <row r="16" spans="1:16" ht="28.8" x14ac:dyDescent="0.3">
      <c r="A16" s="175" t="s">
        <v>286</v>
      </c>
      <c r="B16" s="174">
        <v>10</v>
      </c>
      <c r="C16" s="174" t="s">
        <v>287</v>
      </c>
      <c r="D16" s="174" t="s">
        <v>334</v>
      </c>
      <c r="E16" s="173" t="s">
        <v>340</v>
      </c>
    </row>
    <row r="17" spans="1:16" x14ac:dyDescent="0.3">
      <c r="A17" s="175" t="s">
        <v>288</v>
      </c>
      <c r="B17" s="174">
        <v>6</v>
      </c>
      <c r="C17" s="174" t="s">
        <v>289</v>
      </c>
      <c r="D17" s="174" t="s">
        <v>334</v>
      </c>
      <c r="E17" s="173" t="s">
        <v>341</v>
      </c>
    </row>
    <row r="18" spans="1:16" ht="28.8" x14ac:dyDescent="0.3">
      <c r="A18" s="175" t="s">
        <v>290</v>
      </c>
      <c r="B18" s="174">
        <v>2</v>
      </c>
      <c r="C18" s="174" t="s">
        <v>291</v>
      </c>
      <c r="D18" s="174" t="s">
        <v>334</v>
      </c>
      <c r="E18" s="173" t="s">
        <v>342</v>
      </c>
    </row>
    <row r="19" spans="1:16" ht="43.2" x14ac:dyDescent="0.3">
      <c r="A19" s="175" t="s">
        <v>292</v>
      </c>
      <c r="B19" s="174">
        <v>2</v>
      </c>
      <c r="C19" s="174" t="s">
        <v>293</v>
      </c>
      <c r="D19" s="174" t="s">
        <v>334</v>
      </c>
      <c r="E19" s="173" t="s">
        <v>343</v>
      </c>
    </row>
    <row r="20" spans="1:16" ht="28.8" x14ac:dyDescent="0.3">
      <c r="A20" s="175" t="s">
        <v>309</v>
      </c>
      <c r="B20" s="174">
        <v>3</v>
      </c>
      <c r="C20" s="174" t="s">
        <v>293</v>
      </c>
      <c r="D20" s="174" t="s">
        <v>334</v>
      </c>
      <c r="E20" s="173" t="s">
        <v>344</v>
      </c>
    </row>
    <row r="21" spans="1:16" ht="28.8" x14ac:dyDescent="0.3">
      <c r="A21" s="175" t="s">
        <v>310</v>
      </c>
      <c r="B21" s="174">
        <v>2</v>
      </c>
      <c r="C21" s="174" t="s">
        <v>291</v>
      </c>
      <c r="D21" s="174" t="s">
        <v>334</v>
      </c>
      <c r="E21" s="173" t="s">
        <v>345</v>
      </c>
    </row>
    <row r="22" spans="1:16" ht="43.2" x14ac:dyDescent="0.3">
      <c r="A22" s="175" t="s">
        <v>294</v>
      </c>
      <c r="B22" s="174">
        <v>4</v>
      </c>
      <c r="C22" s="174" t="s">
        <v>293</v>
      </c>
      <c r="D22" s="174" t="s">
        <v>334</v>
      </c>
      <c r="E22" s="173" t="s">
        <v>365</v>
      </c>
    </row>
    <row r="23" spans="1:16" ht="43.2" x14ac:dyDescent="0.3">
      <c r="A23" s="175" t="s">
        <v>311</v>
      </c>
      <c r="B23" s="174">
        <v>2</v>
      </c>
      <c r="C23" s="174" t="s">
        <v>312</v>
      </c>
      <c r="D23" s="174" t="s">
        <v>334</v>
      </c>
      <c r="E23" s="173" t="s">
        <v>366</v>
      </c>
    </row>
    <row r="24" spans="1:16" ht="28.8" x14ac:dyDescent="0.3">
      <c r="A24" s="175" t="s">
        <v>295</v>
      </c>
      <c r="B24" s="174">
        <v>3</v>
      </c>
      <c r="C24" s="174" t="s">
        <v>296</v>
      </c>
      <c r="D24" s="174">
        <v>0</v>
      </c>
      <c r="E24" s="173" t="s">
        <v>367</v>
      </c>
    </row>
    <row r="25" spans="1:16" ht="28.8" x14ac:dyDescent="0.3">
      <c r="A25" s="175" t="s">
        <v>297</v>
      </c>
      <c r="B25" s="174">
        <v>2</v>
      </c>
      <c r="C25" s="174" t="s">
        <v>296</v>
      </c>
      <c r="D25" s="174">
        <v>0</v>
      </c>
      <c r="E25" s="173" t="s">
        <v>349</v>
      </c>
      <c r="F25" s="205" t="s">
        <v>374</v>
      </c>
      <c r="G25" s="206"/>
      <c r="H25" s="206"/>
      <c r="I25" s="206"/>
      <c r="J25" s="206"/>
      <c r="K25" s="206"/>
      <c r="L25" s="206"/>
      <c r="M25" s="206"/>
      <c r="N25" s="206"/>
      <c r="O25" s="206"/>
      <c r="P25" s="207" t="s">
        <v>375</v>
      </c>
    </row>
    <row r="26" spans="1:16" ht="18" x14ac:dyDescent="0.3">
      <c r="A26" s="178" t="s">
        <v>45</v>
      </c>
      <c r="B26" s="179" t="s">
        <v>44</v>
      </c>
      <c r="C26" s="179" t="s">
        <v>266</v>
      </c>
      <c r="D26" s="179" t="s">
        <v>46</v>
      </c>
      <c r="E26" s="204" t="s">
        <v>27</v>
      </c>
    </row>
    <row r="27" spans="1:16" ht="28.8" x14ac:dyDescent="0.3">
      <c r="A27" s="175" t="s">
        <v>298</v>
      </c>
      <c r="B27" s="174">
        <v>2</v>
      </c>
      <c r="C27" s="174" t="s">
        <v>299</v>
      </c>
      <c r="D27" s="174">
        <v>0</v>
      </c>
      <c r="E27" s="173" t="s">
        <v>350</v>
      </c>
    </row>
    <row r="28" spans="1:16" ht="57.6" x14ac:dyDescent="0.3">
      <c r="A28" s="175" t="s">
        <v>300</v>
      </c>
      <c r="B28" s="174">
        <v>2</v>
      </c>
      <c r="C28" s="174" t="s">
        <v>299</v>
      </c>
      <c r="D28" s="174">
        <v>0</v>
      </c>
      <c r="E28" s="173" t="s">
        <v>368</v>
      </c>
    </row>
    <row r="29" spans="1:16" ht="43.2" x14ac:dyDescent="0.3">
      <c r="A29" s="175" t="s">
        <v>301</v>
      </c>
      <c r="B29" s="174">
        <v>1</v>
      </c>
      <c r="C29" s="174" t="s">
        <v>293</v>
      </c>
      <c r="D29" s="174">
        <v>0</v>
      </c>
      <c r="E29" s="173" t="s">
        <v>369</v>
      </c>
    </row>
    <row r="30" spans="1:16" ht="43.2" x14ac:dyDescent="0.3">
      <c r="A30" s="175" t="s">
        <v>302</v>
      </c>
      <c r="B30" s="174">
        <v>1</v>
      </c>
      <c r="C30" s="174" t="s">
        <v>293</v>
      </c>
      <c r="D30" s="174">
        <v>0</v>
      </c>
      <c r="E30" s="173" t="s">
        <v>370</v>
      </c>
    </row>
    <row r="31" spans="1:16" ht="28.8" x14ac:dyDescent="0.3">
      <c r="A31" s="175" t="s">
        <v>303</v>
      </c>
      <c r="B31" s="174">
        <v>4</v>
      </c>
      <c r="C31" s="174" t="s">
        <v>296</v>
      </c>
      <c r="D31" s="174">
        <v>0</v>
      </c>
      <c r="E31" s="173" t="s">
        <v>354</v>
      </c>
    </row>
    <row r="32" spans="1:16" ht="28.8" x14ac:dyDescent="0.3">
      <c r="A32" s="175" t="s">
        <v>304</v>
      </c>
      <c r="B32" s="174">
        <v>2</v>
      </c>
      <c r="C32" s="174" t="s">
        <v>296</v>
      </c>
      <c r="D32" s="174">
        <v>0</v>
      </c>
      <c r="E32" s="173" t="s">
        <v>355</v>
      </c>
    </row>
    <row r="33" spans="1:5" ht="57.6" x14ac:dyDescent="0.3">
      <c r="A33" s="175" t="s">
        <v>305</v>
      </c>
      <c r="B33" s="174">
        <v>3</v>
      </c>
      <c r="C33" s="174" t="s">
        <v>296</v>
      </c>
      <c r="D33" s="174">
        <v>0</v>
      </c>
      <c r="E33" s="173" t="s">
        <v>371</v>
      </c>
    </row>
    <row r="34" spans="1:5" ht="43.2" x14ac:dyDescent="0.3">
      <c r="A34" s="175" t="s">
        <v>306</v>
      </c>
      <c r="B34" s="174">
        <v>2</v>
      </c>
      <c r="C34" s="174" t="s">
        <v>299</v>
      </c>
      <c r="D34" s="174">
        <v>0</v>
      </c>
      <c r="E34" s="173" t="s">
        <v>372</v>
      </c>
    </row>
    <row r="35" spans="1:5" ht="28.8" x14ac:dyDescent="0.3">
      <c r="A35" s="175" t="s">
        <v>308</v>
      </c>
      <c r="B35" s="174">
        <v>2</v>
      </c>
      <c r="C35" s="174" t="s">
        <v>293</v>
      </c>
      <c r="D35" s="174">
        <v>0</v>
      </c>
      <c r="E35" s="173" t="s">
        <v>358</v>
      </c>
    </row>
    <row r="36" spans="1:5" x14ac:dyDescent="0.3">
      <c r="A36" s="203"/>
      <c r="B36" s="203"/>
      <c r="C36" s="203"/>
      <c r="D36" s="203"/>
      <c r="E36" s="203"/>
    </row>
    <row r="37" spans="1:5" ht="28.8" x14ac:dyDescent="0.3">
      <c r="A37" s="175" t="s">
        <v>313</v>
      </c>
      <c r="B37" s="175">
        <v>3</v>
      </c>
      <c r="C37" s="175" t="s">
        <v>317</v>
      </c>
      <c r="D37" s="175">
        <v>0</v>
      </c>
      <c r="E37" s="175" t="s">
        <v>359</v>
      </c>
    </row>
    <row r="38" spans="1:5" ht="28.8" x14ac:dyDescent="0.3">
      <c r="A38" s="203" t="s">
        <v>314</v>
      </c>
      <c r="B38" s="203">
        <v>2</v>
      </c>
      <c r="C38" s="203" t="s">
        <v>296</v>
      </c>
      <c r="D38" s="203">
        <v>1</v>
      </c>
      <c r="E38" s="203" t="s">
        <v>320</v>
      </c>
    </row>
    <row r="39" spans="1:5" ht="28.8" x14ac:dyDescent="0.3">
      <c r="A39" s="175" t="s">
        <v>315</v>
      </c>
      <c r="B39" s="175">
        <v>4</v>
      </c>
      <c r="C39" s="175" t="s">
        <v>318</v>
      </c>
      <c r="D39" s="175">
        <v>0</v>
      </c>
      <c r="E39" s="175" t="s">
        <v>321</v>
      </c>
    </row>
    <row r="40" spans="1:5" ht="28.8" x14ac:dyDescent="0.3">
      <c r="A40" s="203" t="s">
        <v>316</v>
      </c>
      <c r="B40" s="203">
        <v>3</v>
      </c>
      <c r="C40" s="203" t="s">
        <v>319</v>
      </c>
      <c r="D40" s="203">
        <v>1</v>
      </c>
      <c r="E40" s="203" t="s">
        <v>322</v>
      </c>
    </row>
  </sheetData>
  <mergeCells count="1">
    <mergeCell ref="F1:P1"/>
  </mergeCells>
  <pageMargins left="0.19685039370078741" right="0.19685039370078741" top="0.3543307086614173" bottom="0.3543307086614173" header="0" footer="0"/>
  <pageSetup paperSize="9" orientation="portrait" horizontalDpi="360" verticalDpi="36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657F1-E336-410C-9241-AFD526F14E54}">
  <dimension ref="A1:E38"/>
  <sheetViews>
    <sheetView workbookViewId="0">
      <selection activeCell="Q18" sqref="Q18"/>
    </sheetView>
  </sheetViews>
  <sheetFormatPr defaultRowHeight="14.4" x14ac:dyDescent="0.3"/>
  <sheetData>
    <row r="1" spans="1:5" x14ac:dyDescent="0.3">
      <c r="A1" t="s">
        <v>45</v>
      </c>
      <c r="B1" t="s">
        <v>265</v>
      </c>
      <c r="C1" t="s">
        <v>266</v>
      </c>
      <c r="D1" t="s">
        <v>46</v>
      </c>
      <c r="E1" t="s">
        <v>27</v>
      </c>
    </row>
    <row r="2" spans="1:5" x14ac:dyDescent="0.3">
      <c r="A2" t="s">
        <v>267</v>
      </c>
      <c r="B2">
        <v>6</v>
      </c>
      <c r="C2" t="s">
        <v>268</v>
      </c>
      <c r="D2">
        <v>1</v>
      </c>
      <c r="E2" t="s">
        <v>324</v>
      </c>
    </row>
    <row r="3" spans="1:5" x14ac:dyDescent="0.3">
      <c r="A3" t="s">
        <v>269</v>
      </c>
      <c r="B3">
        <v>4</v>
      </c>
      <c r="C3" t="s">
        <v>268</v>
      </c>
      <c r="D3">
        <v>1</v>
      </c>
      <c r="E3" t="s">
        <v>325</v>
      </c>
    </row>
    <row r="4" spans="1:5" x14ac:dyDescent="0.3">
      <c r="A4" t="s">
        <v>270</v>
      </c>
      <c r="B4">
        <v>10</v>
      </c>
      <c r="C4" t="s">
        <v>268</v>
      </c>
      <c r="D4">
        <v>1</v>
      </c>
      <c r="E4" t="s">
        <v>326</v>
      </c>
    </row>
    <row r="5" spans="1:5" x14ac:dyDescent="0.3">
      <c r="A5" t="s">
        <v>271</v>
      </c>
      <c r="B5">
        <v>6</v>
      </c>
      <c r="C5" t="s">
        <v>272</v>
      </c>
      <c r="D5" t="s">
        <v>307</v>
      </c>
      <c r="E5" t="s">
        <v>327</v>
      </c>
    </row>
    <row r="6" spans="1:5" x14ac:dyDescent="0.3">
      <c r="A6" t="s">
        <v>273</v>
      </c>
      <c r="B6">
        <v>4</v>
      </c>
      <c r="C6" t="s">
        <v>274</v>
      </c>
      <c r="D6">
        <v>1</v>
      </c>
      <c r="E6" t="s">
        <v>328</v>
      </c>
    </row>
    <row r="7" spans="1:5" x14ac:dyDescent="0.3">
      <c r="A7" t="s">
        <v>275</v>
      </c>
      <c r="B7">
        <v>6</v>
      </c>
      <c r="C7" t="s">
        <v>276</v>
      </c>
      <c r="D7">
        <v>0</v>
      </c>
      <c r="E7" t="s">
        <v>329</v>
      </c>
    </row>
    <row r="8" spans="1:5" x14ac:dyDescent="0.3">
      <c r="A8" t="s">
        <v>277</v>
      </c>
      <c r="B8">
        <v>6</v>
      </c>
      <c r="C8" t="s">
        <v>268</v>
      </c>
      <c r="D8">
        <v>1</v>
      </c>
      <c r="E8" t="s">
        <v>330</v>
      </c>
    </row>
    <row r="9" spans="1:5" x14ac:dyDescent="0.3">
      <c r="A9" t="s">
        <v>278</v>
      </c>
      <c r="B9">
        <v>4</v>
      </c>
      <c r="C9" t="s">
        <v>272</v>
      </c>
      <c r="D9">
        <v>1</v>
      </c>
      <c r="E9" t="s">
        <v>331</v>
      </c>
    </row>
    <row r="10" spans="1:5" x14ac:dyDescent="0.3">
      <c r="A10" t="s">
        <v>279</v>
      </c>
      <c r="B10">
        <v>2</v>
      </c>
      <c r="C10" t="s">
        <v>272</v>
      </c>
      <c r="D10">
        <v>1</v>
      </c>
      <c r="E10" t="s">
        <v>332</v>
      </c>
    </row>
    <row r="11" spans="1:5" x14ac:dyDescent="0.3">
      <c r="A11" t="s">
        <v>280</v>
      </c>
      <c r="B11">
        <v>10</v>
      </c>
      <c r="C11" t="s">
        <v>268</v>
      </c>
      <c r="D11">
        <v>0</v>
      </c>
      <c r="E11" t="s">
        <v>333</v>
      </c>
    </row>
    <row r="12" spans="1:5" x14ac:dyDescent="0.3">
      <c r="A12" t="s">
        <v>281</v>
      </c>
      <c r="B12">
        <v>12</v>
      </c>
      <c r="C12" t="s">
        <v>282</v>
      </c>
      <c r="D12" t="s">
        <v>334</v>
      </c>
      <c r="E12" t="s">
        <v>335</v>
      </c>
    </row>
    <row r="13" spans="1:5" x14ac:dyDescent="0.3">
      <c r="A13" t="s">
        <v>283</v>
      </c>
      <c r="B13">
        <v>8</v>
      </c>
      <c r="C13" t="s">
        <v>276</v>
      </c>
      <c r="D13">
        <v>1</v>
      </c>
      <c r="E13" t="s">
        <v>336</v>
      </c>
    </row>
    <row r="14" spans="1:5" x14ac:dyDescent="0.3">
      <c r="A14" t="s">
        <v>284</v>
      </c>
      <c r="B14">
        <v>6</v>
      </c>
      <c r="C14" t="s">
        <v>274</v>
      </c>
      <c r="D14">
        <v>1</v>
      </c>
      <c r="E14" t="s">
        <v>337</v>
      </c>
    </row>
    <row r="15" spans="1:5" x14ac:dyDescent="0.3">
      <c r="A15" t="s">
        <v>285</v>
      </c>
      <c r="B15">
        <v>10</v>
      </c>
      <c r="C15" t="s">
        <v>338</v>
      </c>
      <c r="D15">
        <v>1</v>
      </c>
      <c r="E15" t="s">
        <v>339</v>
      </c>
    </row>
    <row r="16" spans="1:5" x14ac:dyDescent="0.3">
      <c r="A16" t="s">
        <v>286</v>
      </c>
      <c r="B16">
        <v>10</v>
      </c>
      <c r="C16" t="s">
        <v>287</v>
      </c>
      <c r="D16" t="s">
        <v>334</v>
      </c>
      <c r="E16" t="s">
        <v>340</v>
      </c>
    </row>
    <row r="17" spans="1:5" x14ac:dyDescent="0.3">
      <c r="A17" t="s">
        <v>288</v>
      </c>
      <c r="B17">
        <v>6</v>
      </c>
      <c r="C17" t="s">
        <v>289</v>
      </c>
      <c r="D17" t="s">
        <v>334</v>
      </c>
      <c r="E17" t="s">
        <v>341</v>
      </c>
    </row>
    <row r="18" spans="1:5" x14ac:dyDescent="0.3">
      <c r="A18" t="s">
        <v>290</v>
      </c>
      <c r="B18">
        <v>2</v>
      </c>
      <c r="C18" t="s">
        <v>291</v>
      </c>
      <c r="D18" t="s">
        <v>334</v>
      </c>
      <c r="E18" t="s">
        <v>342</v>
      </c>
    </row>
    <row r="19" spans="1:5" x14ac:dyDescent="0.3">
      <c r="A19" t="s">
        <v>292</v>
      </c>
      <c r="B19">
        <v>2</v>
      </c>
      <c r="C19" t="s">
        <v>293</v>
      </c>
      <c r="D19" t="s">
        <v>334</v>
      </c>
      <c r="E19" t="s">
        <v>343</v>
      </c>
    </row>
    <row r="20" spans="1:5" x14ac:dyDescent="0.3">
      <c r="A20" t="s">
        <v>309</v>
      </c>
      <c r="B20">
        <v>3</v>
      </c>
      <c r="C20" t="s">
        <v>293</v>
      </c>
      <c r="D20" t="s">
        <v>334</v>
      </c>
      <c r="E20" t="s">
        <v>344</v>
      </c>
    </row>
    <row r="21" spans="1:5" x14ac:dyDescent="0.3">
      <c r="A21" t="s">
        <v>310</v>
      </c>
      <c r="B21">
        <v>2</v>
      </c>
      <c r="C21" t="s">
        <v>291</v>
      </c>
      <c r="D21" t="s">
        <v>334</v>
      </c>
      <c r="E21" t="s">
        <v>345</v>
      </c>
    </row>
    <row r="22" spans="1:5" x14ac:dyDescent="0.3">
      <c r="A22" t="s">
        <v>294</v>
      </c>
      <c r="B22">
        <v>4</v>
      </c>
      <c r="C22" t="s">
        <v>293</v>
      </c>
      <c r="D22" t="s">
        <v>334</v>
      </c>
      <c r="E22" t="s">
        <v>346</v>
      </c>
    </row>
    <row r="23" spans="1:5" x14ac:dyDescent="0.3">
      <c r="A23" t="s">
        <v>311</v>
      </c>
      <c r="B23">
        <v>2</v>
      </c>
      <c r="C23" t="s">
        <v>312</v>
      </c>
      <c r="D23" t="s">
        <v>334</v>
      </c>
      <c r="E23" t="s">
        <v>347</v>
      </c>
    </row>
    <row r="24" spans="1:5" x14ac:dyDescent="0.3">
      <c r="A24" t="s">
        <v>295</v>
      </c>
      <c r="B24">
        <v>3</v>
      </c>
      <c r="C24" t="s">
        <v>296</v>
      </c>
      <c r="D24">
        <v>0</v>
      </c>
      <c r="E24" t="s">
        <v>348</v>
      </c>
    </row>
    <row r="25" spans="1:5" x14ac:dyDescent="0.3">
      <c r="A25" t="s">
        <v>297</v>
      </c>
      <c r="B25">
        <v>2</v>
      </c>
      <c r="C25" t="s">
        <v>296</v>
      </c>
      <c r="D25">
        <v>0</v>
      </c>
      <c r="E25" t="s">
        <v>349</v>
      </c>
    </row>
    <row r="26" spans="1:5" x14ac:dyDescent="0.3">
      <c r="A26" t="s">
        <v>298</v>
      </c>
      <c r="B26">
        <v>2</v>
      </c>
      <c r="C26" t="s">
        <v>299</v>
      </c>
      <c r="D26">
        <v>0</v>
      </c>
      <c r="E26" t="s">
        <v>350</v>
      </c>
    </row>
    <row r="27" spans="1:5" x14ac:dyDescent="0.3">
      <c r="A27" t="s">
        <v>300</v>
      </c>
      <c r="B27">
        <v>2</v>
      </c>
      <c r="C27" t="s">
        <v>299</v>
      </c>
      <c r="D27">
        <v>0</v>
      </c>
      <c r="E27" t="s">
        <v>351</v>
      </c>
    </row>
    <row r="28" spans="1:5" x14ac:dyDescent="0.3">
      <c r="A28" t="s">
        <v>301</v>
      </c>
      <c r="B28">
        <v>1</v>
      </c>
      <c r="C28" t="s">
        <v>293</v>
      </c>
      <c r="D28">
        <v>0</v>
      </c>
      <c r="E28" t="s">
        <v>352</v>
      </c>
    </row>
    <row r="29" spans="1:5" x14ac:dyDescent="0.3">
      <c r="A29" t="s">
        <v>302</v>
      </c>
      <c r="B29">
        <v>1</v>
      </c>
      <c r="C29" t="s">
        <v>293</v>
      </c>
      <c r="D29">
        <v>0</v>
      </c>
      <c r="E29" t="s">
        <v>353</v>
      </c>
    </row>
    <row r="30" spans="1:5" x14ac:dyDescent="0.3">
      <c r="A30" t="s">
        <v>303</v>
      </c>
      <c r="B30">
        <v>4</v>
      </c>
      <c r="C30" t="s">
        <v>296</v>
      </c>
      <c r="D30">
        <v>0</v>
      </c>
      <c r="E30" t="s">
        <v>354</v>
      </c>
    </row>
    <row r="31" spans="1:5" x14ac:dyDescent="0.3">
      <c r="A31" t="s">
        <v>304</v>
      </c>
      <c r="B31">
        <v>2</v>
      </c>
      <c r="C31" t="s">
        <v>296</v>
      </c>
      <c r="D31">
        <v>0</v>
      </c>
      <c r="E31" t="s">
        <v>355</v>
      </c>
    </row>
    <row r="32" spans="1:5" x14ac:dyDescent="0.3">
      <c r="A32" t="s">
        <v>305</v>
      </c>
      <c r="B32">
        <v>3</v>
      </c>
      <c r="C32" t="s">
        <v>296</v>
      </c>
      <c r="D32">
        <v>0</v>
      </c>
      <c r="E32" t="s">
        <v>356</v>
      </c>
    </row>
    <row r="33" spans="1:5" x14ac:dyDescent="0.3">
      <c r="A33" t="s">
        <v>306</v>
      </c>
      <c r="B33">
        <v>2</v>
      </c>
      <c r="C33" t="s">
        <v>299</v>
      </c>
      <c r="D33">
        <v>0</v>
      </c>
      <c r="E33" t="s">
        <v>357</v>
      </c>
    </row>
    <row r="34" spans="1:5" x14ac:dyDescent="0.3">
      <c r="A34" t="s">
        <v>308</v>
      </c>
      <c r="B34">
        <v>2</v>
      </c>
      <c r="C34" t="s">
        <v>293</v>
      </c>
      <c r="D34">
        <v>0</v>
      </c>
      <c r="E34" t="s">
        <v>358</v>
      </c>
    </row>
    <row r="35" spans="1:5" x14ac:dyDescent="0.3">
      <c r="A35" t="s">
        <v>313</v>
      </c>
      <c r="B35">
        <v>3</v>
      </c>
      <c r="C35" t="s">
        <v>317</v>
      </c>
      <c r="D35">
        <v>0</v>
      </c>
      <c r="E35" t="s">
        <v>359</v>
      </c>
    </row>
    <row r="36" spans="1:5" x14ac:dyDescent="0.3">
      <c r="A36" t="s">
        <v>314</v>
      </c>
      <c r="B36">
        <v>2</v>
      </c>
      <c r="C36" t="s">
        <v>296</v>
      </c>
      <c r="D36">
        <v>1</v>
      </c>
      <c r="E36" t="s">
        <v>320</v>
      </c>
    </row>
    <row r="37" spans="1:5" x14ac:dyDescent="0.3">
      <c r="A37" t="s">
        <v>315</v>
      </c>
      <c r="B37">
        <v>4</v>
      </c>
      <c r="C37" t="s">
        <v>318</v>
      </c>
      <c r="D37">
        <v>0</v>
      </c>
      <c r="E37" t="s">
        <v>321</v>
      </c>
    </row>
    <row r="38" spans="1:5" x14ac:dyDescent="0.3">
      <c r="A38" t="s">
        <v>316</v>
      </c>
      <c r="B38">
        <v>3</v>
      </c>
      <c r="C38" t="s">
        <v>319</v>
      </c>
      <c r="D38">
        <v>1</v>
      </c>
      <c r="E38" t="s">
        <v>322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10</vt:i4>
      </vt:variant>
    </vt:vector>
  </HeadingPairs>
  <TitlesOfParts>
    <vt:vector size="10" baseType="lpstr">
      <vt:lpstr>Halfling A</vt:lpstr>
      <vt:lpstr>Elfo A</vt:lpstr>
      <vt:lpstr>Nano A</vt:lpstr>
      <vt:lpstr>Ladro A</vt:lpstr>
      <vt:lpstr>Magic A</vt:lpstr>
      <vt:lpstr>Fighter A</vt:lpstr>
      <vt:lpstr>Cleric A</vt:lpstr>
      <vt:lpstr>Oggetti</vt:lpstr>
      <vt:lpstr>Emporio</vt:lpstr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Bartolini</dc:creator>
  <cp:lastModifiedBy>Claudio Bartolini</cp:lastModifiedBy>
  <cp:lastPrinted>2025-12-20T23:58:13Z</cp:lastPrinted>
  <dcterms:created xsi:type="dcterms:W3CDTF">2025-12-03T19:05:58Z</dcterms:created>
  <dcterms:modified xsi:type="dcterms:W3CDTF">2025-12-21T00:09:03Z</dcterms:modified>
</cp:coreProperties>
</file>