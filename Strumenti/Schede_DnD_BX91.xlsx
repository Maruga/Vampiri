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E32723F3-4F33-48C4-9129-96958424EB97}" xr6:coauthVersionLast="47" xr6:coauthVersionMax="47" xr10:uidLastSave="{00000000-0000-0000-0000-000000000000}"/>
  <bookViews>
    <workbookView xWindow="24504" yWindow="0" windowWidth="17868" windowHeight="16656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8" l="1"/>
  <c r="E36" i="8" s="1"/>
  <c r="F36" i="8" s="1"/>
  <c r="G36" i="8" s="1"/>
  <c r="H36" i="8" s="1"/>
  <c r="I36" i="8" s="1"/>
  <c r="J36" i="8" s="1"/>
  <c r="K36" i="8" s="1"/>
  <c r="L36" i="8" s="1"/>
  <c r="D35" i="8"/>
  <c r="E35" i="8" s="1"/>
  <c r="F35" i="8" s="1"/>
  <c r="G35" i="8" s="1"/>
  <c r="H35" i="8" s="1"/>
  <c r="I35" i="8" s="1"/>
  <c r="J35" i="8" s="1"/>
  <c r="K35" i="8" s="1"/>
  <c r="L35" i="8" s="1"/>
  <c r="D34" i="8"/>
  <c r="E34" i="8" s="1"/>
  <c r="F34" i="8" s="1"/>
  <c r="G34" i="8" s="1"/>
  <c r="H34" i="8" s="1"/>
  <c r="I34" i="8" s="1"/>
  <c r="J34" i="8" s="1"/>
  <c r="K34" i="8" s="1"/>
  <c r="L34" i="8" s="1"/>
  <c r="E33" i="8"/>
  <c r="F33" i="8" s="1"/>
  <c r="G33" i="8" s="1"/>
  <c r="H33" i="8" s="1"/>
  <c r="I33" i="8" s="1"/>
  <c r="J33" i="8" s="1"/>
  <c r="K33" i="8" s="1"/>
  <c r="L33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36" i="7"/>
  <c r="E36" i="7" s="1"/>
  <c r="F36" i="7" s="1"/>
  <c r="G36" i="7" s="1"/>
  <c r="H36" i="7" s="1"/>
  <c r="I36" i="7" s="1"/>
  <c r="J36" i="7" s="1"/>
  <c r="K36" i="7" s="1"/>
  <c r="L36" i="7" s="1"/>
  <c r="D35" i="7"/>
  <c r="E35" i="7" s="1"/>
  <c r="F35" i="7" s="1"/>
  <c r="G35" i="7" s="1"/>
  <c r="H35" i="7" s="1"/>
  <c r="I35" i="7" s="1"/>
  <c r="J35" i="7" s="1"/>
  <c r="K35" i="7" s="1"/>
  <c r="L35" i="7" s="1"/>
  <c r="D34" i="7"/>
  <c r="E34" i="7" s="1"/>
  <c r="F34" i="7" s="1"/>
  <c r="G34" i="7" s="1"/>
  <c r="H34" i="7" s="1"/>
  <c r="I34" i="7" s="1"/>
  <c r="J34" i="7" s="1"/>
  <c r="K34" i="7" s="1"/>
  <c r="L34" i="7" s="1"/>
  <c r="E33" i="7"/>
  <c r="F33" i="7" s="1"/>
  <c r="G33" i="7" s="1"/>
  <c r="H33" i="7" s="1"/>
  <c r="I33" i="7" s="1"/>
  <c r="J33" i="7" s="1"/>
  <c r="K33" i="7" s="1"/>
  <c r="L33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36" i="6"/>
  <c r="E36" i="6" s="1"/>
  <c r="F36" i="6" s="1"/>
  <c r="G36" i="6" s="1"/>
  <c r="H36" i="6" s="1"/>
  <c r="I36" i="6" s="1"/>
  <c r="J36" i="6" s="1"/>
  <c r="K36" i="6" s="1"/>
  <c r="L36" i="6" s="1"/>
  <c r="D35" i="6"/>
  <c r="E35" i="6" s="1"/>
  <c r="F35" i="6" s="1"/>
  <c r="G35" i="6" s="1"/>
  <c r="H35" i="6" s="1"/>
  <c r="I35" i="6" s="1"/>
  <c r="J35" i="6" s="1"/>
  <c r="K35" i="6" s="1"/>
  <c r="L35" i="6" s="1"/>
  <c r="D34" i="6"/>
  <c r="E34" i="6" s="1"/>
  <c r="F34" i="6" s="1"/>
  <c r="G34" i="6" s="1"/>
  <c r="H34" i="6" s="1"/>
  <c r="I34" i="6" s="1"/>
  <c r="J34" i="6" s="1"/>
  <c r="K34" i="6" s="1"/>
  <c r="L34" i="6" s="1"/>
  <c r="F33" i="6"/>
  <c r="G33" i="6" s="1"/>
  <c r="H33" i="6" s="1"/>
  <c r="I33" i="6" s="1"/>
  <c r="J33" i="6" s="1"/>
  <c r="K33" i="6" s="1"/>
  <c r="L33" i="6" s="1"/>
  <c r="E33" i="6"/>
  <c r="K18" i="6"/>
  <c r="J18" i="6"/>
  <c r="K17" i="6"/>
  <c r="J17" i="6"/>
  <c r="K16" i="6"/>
  <c r="J16" i="6"/>
  <c r="K15" i="6"/>
  <c r="J15" i="6"/>
  <c r="K14" i="6"/>
  <c r="J14" i="6" s="1"/>
  <c r="I18" i="5"/>
  <c r="I17" i="5"/>
  <c r="I16" i="5"/>
  <c r="I15" i="5"/>
  <c r="J18" i="4"/>
  <c r="J17" i="4"/>
  <c r="J16" i="4"/>
  <c r="J15" i="4"/>
  <c r="J14" i="4"/>
  <c r="J18" i="1"/>
  <c r="J17" i="1"/>
  <c r="J16" i="1"/>
  <c r="J15" i="1"/>
  <c r="J14" i="1"/>
  <c r="J18" i="3"/>
  <c r="J17" i="3"/>
  <c r="J16" i="3"/>
  <c r="J15" i="3"/>
  <c r="J14" i="3"/>
  <c r="D36" i="5"/>
  <c r="E36" i="5" s="1"/>
  <c r="F36" i="5" s="1"/>
  <c r="G36" i="5" s="1"/>
  <c r="H36" i="5" s="1"/>
  <c r="I36" i="5" s="1"/>
  <c r="J36" i="5" s="1"/>
  <c r="K36" i="5" s="1"/>
  <c r="L36" i="5" s="1"/>
  <c r="D35" i="5"/>
  <c r="E35" i="5" s="1"/>
  <c r="F35" i="5" s="1"/>
  <c r="G35" i="5" s="1"/>
  <c r="H35" i="5" s="1"/>
  <c r="I35" i="5" s="1"/>
  <c r="J35" i="5" s="1"/>
  <c r="K35" i="5" s="1"/>
  <c r="L35" i="5" s="1"/>
  <c r="D34" i="5"/>
  <c r="E34" i="5" s="1"/>
  <c r="F34" i="5" s="1"/>
  <c r="G34" i="5" s="1"/>
  <c r="H34" i="5" s="1"/>
  <c r="I34" i="5" s="1"/>
  <c r="J34" i="5" s="1"/>
  <c r="K34" i="5" s="1"/>
  <c r="L34" i="5" s="1"/>
  <c r="E33" i="5"/>
  <c r="F33" i="5" s="1"/>
  <c r="G33" i="5" s="1"/>
  <c r="H33" i="5" s="1"/>
  <c r="I33" i="5" s="1"/>
  <c r="J33" i="5" s="1"/>
  <c r="K33" i="5" s="1"/>
  <c r="L33" i="5" s="1"/>
  <c r="K18" i="5"/>
  <c r="J18" i="5" s="1"/>
  <c r="K17" i="5"/>
  <c r="J17" i="5" s="1"/>
  <c r="K16" i="5"/>
  <c r="J16" i="5" s="1"/>
  <c r="K15" i="5"/>
  <c r="J15" i="5" s="1"/>
  <c r="K14" i="5"/>
  <c r="J14" i="5" s="1"/>
  <c r="I18" i="4"/>
  <c r="I17" i="4"/>
  <c r="I16" i="4"/>
  <c r="I15" i="4"/>
  <c r="D36" i="4"/>
  <c r="E36" i="4" s="1"/>
  <c r="F36" i="4" s="1"/>
  <c r="G36" i="4" s="1"/>
  <c r="H36" i="4" s="1"/>
  <c r="I36" i="4" s="1"/>
  <c r="J36" i="4" s="1"/>
  <c r="K36" i="4" s="1"/>
  <c r="L36" i="4" s="1"/>
  <c r="E35" i="4"/>
  <c r="F35" i="4" s="1"/>
  <c r="G35" i="4" s="1"/>
  <c r="H35" i="4" s="1"/>
  <c r="I35" i="4" s="1"/>
  <c r="J35" i="4" s="1"/>
  <c r="K35" i="4" s="1"/>
  <c r="L35" i="4" s="1"/>
  <c r="D35" i="4"/>
  <c r="D34" i="4"/>
  <c r="E34" i="4" s="1"/>
  <c r="F34" i="4" s="1"/>
  <c r="G34" i="4" s="1"/>
  <c r="H34" i="4" s="1"/>
  <c r="I34" i="4" s="1"/>
  <c r="J34" i="4" s="1"/>
  <c r="K34" i="4" s="1"/>
  <c r="L34" i="4" s="1"/>
  <c r="H33" i="4"/>
  <c r="I33" i="4" s="1"/>
  <c r="J33" i="4" s="1"/>
  <c r="K33" i="4" s="1"/>
  <c r="L33" i="4" s="1"/>
  <c r="G33" i="4"/>
  <c r="F33" i="4"/>
  <c r="E33" i="4"/>
  <c r="K18" i="4"/>
  <c r="K17" i="4"/>
  <c r="K16" i="4"/>
  <c r="K15" i="4"/>
  <c r="K14" i="4"/>
  <c r="E36" i="3"/>
  <c r="F36" i="3" s="1"/>
  <c r="G36" i="3" s="1"/>
  <c r="H36" i="3" s="1"/>
  <c r="I36" i="3" s="1"/>
  <c r="J36" i="3" s="1"/>
  <c r="K36" i="3" s="1"/>
  <c r="L36" i="3" s="1"/>
  <c r="D36" i="3"/>
  <c r="D35" i="3"/>
  <c r="E35" i="3" s="1"/>
  <c r="F35" i="3" s="1"/>
  <c r="G35" i="3" s="1"/>
  <c r="H35" i="3" s="1"/>
  <c r="I35" i="3" s="1"/>
  <c r="J35" i="3" s="1"/>
  <c r="K35" i="3" s="1"/>
  <c r="L35" i="3" s="1"/>
  <c r="D34" i="3"/>
  <c r="E34" i="3" s="1"/>
  <c r="F34" i="3" s="1"/>
  <c r="G34" i="3" s="1"/>
  <c r="H34" i="3" s="1"/>
  <c r="I34" i="3" s="1"/>
  <c r="J34" i="3" s="1"/>
  <c r="K34" i="3" s="1"/>
  <c r="L34" i="3" s="1"/>
  <c r="F33" i="3"/>
  <c r="G33" i="3" s="1"/>
  <c r="H33" i="3" s="1"/>
  <c r="I33" i="3" s="1"/>
  <c r="J33" i="3" s="1"/>
  <c r="K33" i="3" s="1"/>
  <c r="L33" i="3" s="1"/>
  <c r="E33" i="3"/>
  <c r="K18" i="3"/>
  <c r="K17" i="3"/>
  <c r="K16" i="3"/>
  <c r="K15" i="3"/>
  <c r="K14" i="3"/>
  <c r="K15" i="1"/>
  <c r="K16" i="1"/>
  <c r="K17" i="1"/>
  <c r="K18" i="1"/>
  <c r="K14" i="1"/>
  <c r="A4" i="2"/>
  <c r="D35" i="1"/>
  <c r="E35" i="1" s="1"/>
  <c r="F35" i="1" s="1"/>
  <c r="G35" i="1" s="1"/>
  <c r="H35" i="1" s="1"/>
  <c r="I35" i="1" s="1"/>
  <c r="J35" i="1" s="1"/>
  <c r="K35" i="1" s="1"/>
  <c r="L35" i="1" s="1"/>
  <c r="D36" i="1"/>
  <c r="E36" i="1" s="1"/>
  <c r="F36" i="1" s="1"/>
  <c r="G36" i="1" s="1"/>
  <c r="H36" i="1" s="1"/>
  <c r="I36" i="1" s="1"/>
  <c r="J36" i="1" s="1"/>
  <c r="K36" i="1" s="1"/>
  <c r="L36" i="1" s="1"/>
  <c r="D34" i="1"/>
  <c r="E34" i="1" s="1"/>
  <c r="F34" i="1" s="1"/>
  <c r="G34" i="1" s="1"/>
  <c r="H34" i="1" s="1"/>
  <c r="I34" i="1" s="1"/>
  <c r="J34" i="1" s="1"/>
  <c r="K34" i="1" s="1"/>
  <c r="L34" i="1" s="1"/>
  <c r="E33" i="1"/>
  <c r="F33" i="1" s="1"/>
  <c r="G33" i="1" s="1"/>
  <c r="H33" i="1" s="1"/>
  <c r="I33" i="1" s="1"/>
  <c r="J33" i="1" s="1"/>
  <c r="K33" i="1" s="1"/>
  <c r="L33" i="1" s="1"/>
</calcChain>
</file>

<file path=xl/sharedStrings.xml><?xml version="1.0" encoding="utf-8"?>
<sst xmlns="http://schemas.openxmlformats.org/spreadsheetml/2006/main" count="765" uniqueCount="241">
  <si>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</si>
  <si>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</si>
  <si>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</si>
  <si>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</si>
  <si>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</si>
  <si>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</si>
  <si>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</si>
  <si>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</si>
  <si>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</si>
  <si>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</si>
  <si>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</si>
  <si>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</si>
  <si>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</si>
  <si>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</si>
  <si>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</si>
  <si>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</si>
  <si>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</si>
  <si>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</si>
  <si>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</si>
  <si>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</si>
  <si>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</si>
  <si>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</si>
  <si>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</si>
  <si>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</si>
  <si>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</si>
  <si>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</si>
  <si>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</si>
  <si>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</si>
  <si>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</si>
  <si>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</si>
  <si>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</si>
  <si>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</si>
  <si>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</si>
  <si>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</si>
  <si>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</si>
  <si>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</si>
  <si>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</si>
  <si>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</si>
  <si>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</si>
  <si>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</si>
  <si>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</si>
  <si>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</si>
  <si>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</si>
  <si>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</si>
  <si>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</si>
  <si>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</si>
  <si>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</si>
  <si>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</si>
  <si>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</si>
  <si>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Forza</t>
  </si>
  <si>
    <t>Slot 1/2</t>
  </si>
  <si>
    <t>Fermo</t>
  </si>
  <si>
    <t>6-8</t>
  </si>
  <si>
    <t>9-12</t>
  </si>
  <si>
    <t>13-15</t>
  </si>
  <si>
    <t>16-17</t>
  </si>
  <si>
    <t>18</t>
  </si>
  <si>
    <t>19+</t>
  </si>
  <si>
    <t>24+</t>
  </si>
  <si>
    <t>27+</t>
  </si>
  <si>
    <t>30+</t>
  </si>
  <si>
    <t>33+</t>
  </si>
  <si>
    <t>36+</t>
  </si>
  <si>
    <t>-</t>
  </si>
  <si>
    <t>Esempio</t>
  </si>
  <si>
    <t>Note/Usi/Cariche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</si>
  <si>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</si>
  <si>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</si>
  <si>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</si>
  <si>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</si>
  <si>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3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</si>
  <si>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</si>
  <si>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</si>
  <si>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</si>
  <si>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</si>
  <si>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</si>
  <si>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</si>
  <si>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</si>
  <si>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</si>
  <si>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</si>
  <si>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</si>
  <si>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</si>
  <si>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</si>
  <si>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</si>
  <si>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</si>
  <si>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</si>
  <si>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</si>
  <si>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</si>
  <si>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</si>
  <si>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</si>
  <si>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</si>
  <si>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</si>
  <si>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</si>
  <si>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</si>
  <si>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</si>
  <si>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</si>
  <si>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</si>
  <si>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</si>
  <si>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</si>
  <si>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</si>
  <si>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</si>
  <si>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</si>
  <si>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</si>
  <si>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</si>
  <si>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</si>
  <si>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</si>
  <si>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</si>
  <si>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</si>
  <si>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</si>
  <si>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Lancio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</si>
  <si>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</si>
  <si>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</si>
  <si>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</si>
  <si>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</si>
  <si>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</si>
  <si>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</si>
  <si>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</si>
  <si>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</si>
  <si>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</si>
  <si>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</si>
  <si>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</si>
  <si>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</si>
  <si>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</si>
  <si>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</si>
  <si>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</si>
  <si>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</si>
  <si>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</si>
  <si>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</si>
  <si>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</si>
  <si>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</si>
  <si>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</si>
  <si>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</si>
  <si>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</si>
  <si>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</si>
  <si>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</si>
  <si>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</si>
  <si>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</si>
  <si>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</si>
  <si>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</si>
  <si>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</si>
  <si>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</si>
  <si>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</si>
  <si>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</si>
  <si>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</si>
  <si>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</si>
  <si>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</si>
  <si>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</si>
  <si>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</si>
  <si>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</si>
  <si>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</si>
  <si>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</si>
  <si>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</si>
  <si>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</si>
  <si>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</si>
  <si>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</si>
  <si>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Ritirata difensiva, mezzo movimento, no attacco</t>
  </si>
  <si>
    <t>Juven Lionsbane</t>
  </si>
  <si>
    <t>Mago</t>
  </si>
  <si>
    <t>5°</t>
  </si>
  <si>
    <t>Common, Orc, Ogre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</si>
  <si>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</si>
  <si>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</si>
  <si>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</si>
  <si>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</si>
  <si>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</si>
  <si>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</si>
  <si>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</si>
  <si>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</si>
  <si>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</si>
  <si>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</si>
  <si>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</si>
  <si>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</si>
  <si>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</si>
  <si>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</si>
  <si>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</si>
  <si>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</si>
  <si>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</si>
  <si>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</si>
  <si>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</si>
  <si>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Common, Gnomesco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</si>
  <si>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</si>
  <si>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</si>
  <si>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</si>
  <si>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</si>
  <si>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</si>
  <si>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</si>
  <si>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</si>
  <si>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</si>
  <si>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</si>
  <si>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</si>
  <si>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</si>
  <si>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</si>
  <si>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</si>
  <si>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</si>
  <si>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</si>
  <si>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</si>
  <si>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</si>
  <si>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</si>
  <si>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</si>
  <si>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</si>
  <si>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</si>
  <si>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</si>
  <si>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</si>
  <si>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</si>
  <si>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</si>
  <si>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</si>
  <si>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</si>
  <si>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</si>
  <si>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</si>
  <si>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</si>
  <si>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</si>
  <si>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</si>
  <si>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</si>
  <si>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</si>
  <si>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</si>
  <si>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</si>
  <si>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Elfico, Comune, Orchesco, Hobgoblin, Gnoll, Draconico, Pixie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</si>
  <si>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</si>
  <si>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</si>
  <si>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</si>
  <si>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</si>
  <si>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</si>
  <si>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</si>
  <si>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</si>
  <si>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</si>
  <si>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</si>
  <si>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</si>
  <si>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</si>
  <si>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</si>
  <si>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</si>
  <si>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</si>
  <si>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</si>
  <si>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</si>
  <si>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</si>
  <si>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</si>
  <si>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</si>
  <si>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</si>
  <si>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</si>
  <si>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</si>
  <si>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21km</t>
  </si>
  <si>
    <t>Common, Uomini Lucertola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</si>
</sst>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Aptos ExtraBold"/>
      <family val="2"/>
    </font>
    <font>
      <sz val="11"/>
      <color theme="1"/>
      <name val="Aptos ExtraBold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/>
        <bgColor theme="8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5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6" borderId="4" xfId="0" applyFill="1" applyBorder="1"/>
    <xf numFmtId="0" fontId="13" fillId="5" borderId="4" xfId="0" applyFont="1" applyFill="1" applyBorder="1" applyAlignment="1">
      <alignment vertical="center"/>
    </xf>
    <xf numFmtId="0" fontId="0" fillId="6" borderId="5" xfId="0" applyFill="1" applyBorder="1"/>
    <xf numFmtId="0" fontId="0" fillId="0" borderId="6" xfId="0" applyBorder="1"/>
    <xf numFmtId="0" fontId="0" fillId="6" borderId="7" xfId="0" applyFill="1" applyBorder="1"/>
    <xf numFmtId="0" fontId="0" fillId="0" borderId="8" xfId="0" applyBorder="1" applyAlignment="1">
      <alignment horizontal="center"/>
    </xf>
    <xf numFmtId="0" fontId="0" fillId="6" borderId="9" xfId="0" applyFill="1" applyBorder="1"/>
    <xf numFmtId="0" fontId="0" fillId="0" borderId="8" xfId="0" applyBorder="1"/>
    <xf numFmtId="0" fontId="0" fillId="6" borderId="11" xfId="0" applyFill="1" applyBorder="1"/>
    <xf numFmtId="0" fontId="0" fillId="6" borderId="12" xfId="0" applyFill="1" applyBorder="1"/>
    <xf numFmtId="49" fontId="0" fillId="0" borderId="0" xfId="0" applyNumberFormat="1" applyAlignment="1">
      <alignment horizontal="center" vertical="center"/>
    </xf>
    <xf numFmtId="0" fontId="12" fillId="7" borderId="10" xfId="0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4" xfId="0" applyBorder="1"/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left" vertical="center"/>
    </xf>
    <xf numFmtId="0" fontId="16" fillId="0" borderId="6" xfId="0" applyFont="1" applyBorder="1" applyAlignment="1">
      <alignment horizontal="left"/>
    </xf>
    <xf numFmtId="0" fontId="16" fillId="6" borderId="4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6" fillId="6" borderId="11" xfId="0" applyFont="1" applyFill="1" applyBorder="1" applyAlignment="1">
      <alignment horizontal="left"/>
    </xf>
    <xf numFmtId="0" fontId="16" fillId="6" borderId="5" xfId="0" applyFont="1" applyFill="1" applyBorder="1" applyAlignment="1">
      <alignment horizontal="left"/>
    </xf>
    <xf numFmtId="0" fontId="16" fillId="0" borderId="13" xfId="0" applyFont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0" borderId="23" xfId="0" applyFont="1" applyBorder="1" applyAlignment="1">
      <alignment horizontal="left"/>
    </xf>
    <xf numFmtId="0" fontId="0" fillId="0" borderId="24" xfId="0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0" borderId="23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5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7" xfId="0" applyBorder="1" applyAlignment="1">
      <alignment vertical="center"/>
    </xf>
    <xf numFmtId="0" fontId="19" fillId="0" borderId="21" xfId="0" applyFont="1" applyBorder="1" applyAlignment="1">
      <alignment horizontal="center" vertical="center"/>
    </xf>
    <xf numFmtId="0" fontId="1" fillId="4" borderId="15" xfId="0" applyFont="1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4" borderId="17" xfId="0" applyFill="1" applyBorder="1" applyAlignment="1">
      <alignment horizontal="left" vertical="center"/>
    </xf>
    <xf numFmtId="0" fontId="0" fillId="4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1" fillId="4" borderId="17" xfId="0" applyFont="1" applyFill="1" applyBorder="1" applyAlignment="1">
      <alignment horizontal="left" vertical="center"/>
    </xf>
    <xf numFmtId="0" fontId="0" fillId="4" borderId="16" xfId="0" quotePrefix="1" applyFill="1" applyBorder="1" applyAlignment="1">
      <alignment horizontal="left" vertical="center"/>
    </xf>
    <xf numFmtId="0" fontId="0" fillId="4" borderId="18" xfId="0" applyFill="1" applyBorder="1" applyAlignment="1">
      <alignment horizontal="left" vertical="center"/>
    </xf>
    <xf numFmtId="0" fontId="1" fillId="4" borderId="19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4" borderId="20" xfId="0" applyFill="1" applyBorder="1" applyAlignment="1">
      <alignment horizontal="left" vertical="center"/>
    </xf>
    <xf numFmtId="0" fontId="0" fillId="8" borderId="21" xfId="0" applyFill="1" applyBorder="1" applyAlignment="1">
      <alignment vertical="center"/>
    </xf>
    <xf numFmtId="0" fontId="8" fillId="0" borderId="22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1" fillId="4" borderId="16" xfId="0" applyFont="1" applyFill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2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21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21" xfId="0" applyFont="1" applyBorder="1" applyAlignment="1">
      <alignment horizontal="left"/>
    </xf>
    <xf numFmtId="0" fontId="0" fillId="0" borderId="21" xfId="0" applyFill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21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9" fontId="1" fillId="0" borderId="0" xfId="0" applyNumberFormat="1" applyFont="1" applyAlignment="1">
      <alignment horizontal="center" vertical="center"/>
    </xf>
    <xf numFmtId="0" fontId="0" fillId="4" borderId="0" xfId="0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0" borderId="0" xfId="0" quotePrefix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0" fillId="0" borderId="0" xfId="0" quotePrefix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16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/>
    <xf numFmtId="0" fontId="5" fillId="0" borderId="0" xfId="0" applyFont="1" applyBorder="1" applyAlignment="1">
      <alignment horizontal="right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</cellXfs>
  <cellStyles count="2">
    <cellStyle name="Migliaia" xfId="1" builtinId="3"/>
    <cellStyle name="Normale" xfId="0" builtinId="0"/>
  </cellStyles>
  <dxfs count="15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ExtraBold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E39CCD-A3A0-411F-9284-620A9D624E2B}" name="Tabella2" displayName="Tabella2" ref="G33:J39" totalsRowShown="0" headerRowDxfId="14" dataDxfId="13">
  <tableColumns count="4">
    <tableColumn id="1" xr3:uid="{FED5B1ED-E990-4C12-98A3-45B4AFC7099E}" name="Forza" dataDxfId="12"/>
    <tableColumn id="2" xr3:uid="{52EEBE46-E85D-48C6-BE0A-0F79720C2ECC}" name="Slot" dataDxfId="11"/>
    <tableColumn id="3" xr3:uid="{87D2820E-9CDF-4235-9FAE-7EBD8ADA922E}" name="Slot 1/2" dataDxfId="10"/>
    <tableColumn id="4" xr3:uid="{766288AF-7925-485A-A044-7F27BEF8F717}" name="Ferm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D96BD-AC57-4A6D-8FEF-C762082851F6}" name="Tabella4" displayName="Tabella4" ref="A34:F38" headerRowCount="0" totalsRowShown="0" headerRowDxfId="8" dataDxfId="7">
  <tableColumns count="6">
    <tableColumn id="1" xr3:uid="{3E8D725F-3420-49DC-9272-6DA174F28A43}" name="Slot" dataDxfId="6"/>
    <tableColumn id="2" xr3:uid="{13EC648B-9BE7-4801-A3AA-676F4FF28666}" name="Esempi" headerRowDxfId="5" dataDxfId="4"/>
    <tableColumn id="3" xr3:uid="{67909A8B-E635-48E7-8B76-822A015EE759}" name="*" dataDxfId="3"/>
    <tableColumn id="4" xr3:uid="{7DCA39A4-AC31-4C9E-AA06-E60D0283313A}" name="*2" dataDxfId="2"/>
    <tableColumn id="5" xr3:uid="{A4FB9732-EFA4-4140-856E-7175744505F7}" name="'-2" dataDxfId="1"/>
    <tableColumn id="6" xr3:uid="{C20E2C16-5E16-4933-9CBF-A83B68B83E64}" name="'-3" dataDxfId="0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36"/>
  <sheetViews>
    <sheetView tabSelected="1" zoomScale="90" zoomScaleNormal="90" workbookViewId="0">
      <selection activeCell="A18" sqref="A18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228</v>
      </c>
      <c r="C1" s="82"/>
      <c r="D1" s="83"/>
      <c r="E1" s="99"/>
      <c r="F1" s="84"/>
      <c r="G1" s="101" t="s">
        <v>197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229</v>
      </c>
      <c r="C2" s="90"/>
      <c r="D2" s="91"/>
      <c r="E2" s="92" t="s">
        <v>33</v>
      </c>
      <c r="F2" s="93"/>
      <c r="G2" s="93" t="s">
        <v>229</v>
      </c>
      <c r="H2" s="93"/>
      <c r="I2" s="100" t="s">
        <v>158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3</v>
      </c>
      <c r="C4" s="1"/>
      <c r="D4" s="48" t="s">
        <v>37</v>
      </c>
      <c r="E4" s="1"/>
      <c r="F4" s="49">
        <v>20</v>
      </c>
      <c r="G4" s="102" t="s">
        <v>88</v>
      </c>
      <c r="H4" s="1"/>
      <c r="I4" s="1"/>
      <c r="J4" s="1"/>
      <c r="K4" s="50" t="s">
        <v>119</v>
      </c>
      <c r="L4" s="1"/>
      <c r="M4" s="51">
        <v>2</v>
      </c>
      <c r="N4" s="1"/>
      <c r="O4" s="48" t="s">
        <v>9</v>
      </c>
      <c r="P4" s="98">
        <v>25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14</v>
      </c>
      <c r="B6" s="50" t="s">
        <v>2</v>
      </c>
      <c r="C6" s="109" t="s">
        <v>201</v>
      </c>
      <c r="D6" s="109"/>
      <c r="E6" s="109"/>
      <c r="F6" s="109"/>
      <c r="G6" s="109"/>
      <c r="H6" s="109"/>
      <c r="I6" s="109"/>
      <c r="J6" s="49">
        <v>1</v>
      </c>
      <c r="K6" s="49"/>
      <c r="M6" s="110" t="s">
        <v>73</v>
      </c>
      <c r="N6" s="110"/>
      <c r="O6" s="110"/>
      <c r="P6" s="54">
        <v>6</v>
      </c>
    </row>
    <row r="7" spans="1:16" ht="32.4" customHeight="1" x14ac:dyDescent="0.3">
      <c r="A7" s="80">
        <v>14</v>
      </c>
      <c r="B7" s="50" t="s">
        <v>3</v>
      </c>
      <c r="C7" s="109" t="s">
        <v>145</v>
      </c>
      <c r="D7" s="109"/>
      <c r="E7" s="109"/>
      <c r="F7" s="109"/>
      <c r="G7" s="109"/>
      <c r="H7" s="109"/>
      <c r="I7" s="109"/>
      <c r="J7" s="49">
        <v>1</v>
      </c>
      <c r="K7" s="49"/>
      <c r="M7" s="110" t="s">
        <v>11</v>
      </c>
      <c r="N7" s="110"/>
      <c r="O7" s="110"/>
      <c r="P7" s="54">
        <v>7</v>
      </c>
    </row>
    <row r="8" spans="1:16" ht="32.4" customHeight="1" x14ac:dyDescent="0.3">
      <c r="A8" s="80">
        <v>9</v>
      </c>
      <c r="B8" s="50" t="s">
        <v>4</v>
      </c>
      <c r="C8" s="109" t="s">
        <v>113</v>
      </c>
      <c r="D8" s="109"/>
      <c r="E8" s="109"/>
      <c r="F8" s="109"/>
      <c r="G8" s="109"/>
      <c r="H8" s="109"/>
      <c r="I8" s="109"/>
      <c r="J8" s="49">
        <v>0</v>
      </c>
      <c r="K8" s="49"/>
      <c r="M8" s="110" t="s">
        <v>14</v>
      </c>
      <c r="N8" s="110"/>
      <c r="O8" s="110"/>
      <c r="P8" s="54">
        <v>8</v>
      </c>
    </row>
    <row r="9" spans="1:16" ht="32.4" customHeight="1" x14ac:dyDescent="0.3">
      <c r="A9" s="80">
        <v>13</v>
      </c>
      <c r="B9" s="50" t="s">
        <v>5</v>
      </c>
      <c r="C9" s="109" t="s">
        <v>162</v>
      </c>
      <c r="D9" s="109"/>
      <c r="E9" s="109"/>
      <c r="F9" s="109"/>
      <c r="G9" s="109"/>
      <c r="H9" s="109"/>
      <c r="I9" s="109"/>
      <c r="J9" s="49">
        <v>1</v>
      </c>
      <c r="K9" s="49"/>
      <c r="M9" s="110" t="s">
        <v>12</v>
      </c>
      <c r="N9" s="110"/>
      <c r="O9" s="110"/>
      <c r="P9" s="54">
        <v>10</v>
      </c>
    </row>
    <row r="10" spans="1:16" ht="32.4" customHeight="1" x14ac:dyDescent="0.3">
      <c r="A10" s="80">
        <v>12</v>
      </c>
      <c r="B10" s="50" t="s">
        <v>6</v>
      </c>
      <c r="C10" s="109" t="s">
        <v>113</v>
      </c>
      <c r="D10" s="109"/>
      <c r="E10" s="109"/>
      <c r="F10" s="109"/>
      <c r="G10" s="109"/>
      <c r="H10" s="109"/>
      <c r="I10" s="109"/>
      <c r="J10" s="49">
        <v>0</v>
      </c>
      <c r="K10" s="49"/>
      <c r="M10" s="110" t="s">
        <v>13</v>
      </c>
      <c r="N10" s="110"/>
      <c r="O10" s="110"/>
      <c r="P10" s="54">
        <v>10</v>
      </c>
    </row>
    <row r="11" spans="1:16" ht="32.4" customHeight="1" x14ac:dyDescent="0.3">
      <c r="A11" s="80">
        <v>11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240</v>
      </c>
      <c r="B14" s="112"/>
      <c r="E14" s="41" t="s">
        <v>21</v>
      </c>
      <c r="F14" s="41"/>
      <c r="H14" s="60" t="s">
        <v>96</v>
      </c>
      <c r="I14" s="61">
        <v>20</v>
      </c>
      <c r="J14" s="1">
        <f>K14*1.5</f>
        <v>6</v>
      </c>
      <c r="K14" s="1">
        <f>I14/5</f>
        <v>4</v>
      </c>
      <c r="N14" s="3" t="s">
        <v>223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f>I14*3</f>
        <v>60</v>
      </c>
      <c r="J15" s="65">
        <f>K15*1.5</f>
        <v>18</v>
      </c>
      <c r="K15" s="65">
        <f t="shared" ref="K15:K18" si="0">I15/5</f>
        <v>12</v>
      </c>
      <c r="N15" s="3" t="s">
        <v>167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f>I14*3</f>
        <v>60</v>
      </c>
      <c r="J16" s="1">
        <f>K16*1.5</f>
        <v>18</v>
      </c>
      <c r="K16" s="1">
        <f t="shared" si="0"/>
        <v>12</v>
      </c>
      <c r="N16" s="3" t="s">
        <v>231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f>I14/2</f>
        <v>10</v>
      </c>
      <c r="J17" s="65">
        <f>K17*1.5</f>
        <v>3</v>
      </c>
      <c r="K17" s="65">
        <f t="shared" si="0"/>
        <v>2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f>I14/2</f>
        <v>10</v>
      </c>
      <c r="J18" s="1">
        <f>K18*1.5</f>
        <v>3</v>
      </c>
      <c r="K18" s="1">
        <f t="shared" si="0"/>
        <v>2</v>
      </c>
      <c r="N18" s="3" t="s">
        <v>82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226</v>
      </c>
      <c r="J19" s="66" t="s">
        <v>239</v>
      </c>
      <c r="K19" s="66"/>
      <c r="N19" s="3" t="s">
        <v>230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211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8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121"/>
      <c r="C25" s="123"/>
      <c r="E25" s="2" t="s">
        <v>123</v>
      </c>
      <c r="P25" s="55"/>
    </row>
    <row r="26" spans="1:16" ht="15.6" customHeight="1" x14ac:dyDescent="0.3">
      <c r="A26" s="122"/>
      <c r="C26" s="123"/>
      <c r="E26" s="2" t="s">
        <v>155</v>
      </c>
      <c r="P26" s="55"/>
    </row>
    <row r="27" spans="1:16" ht="15.6" customHeight="1" x14ac:dyDescent="0.3">
      <c r="A27" s="118"/>
      <c r="B27" s="114"/>
      <c r="C27" s="123"/>
      <c r="E27" s="61"/>
      <c r="G27" s="61"/>
      <c r="I27" s="61"/>
      <c r="N27" s="4" t="s">
        <v>29</v>
      </c>
      <c r="O27" s="6"/>
      <c r="P27" s="53"/>
    </row>
    <row r="28" spans="1:16" ht="15.6" customHeight="1" x14ac:dyDescent="0.3">
      <c r="A28" s="120" t="s">
        <v>237</v>
      </c>
      <c r="B28" s="117"/>
      <c r="C28" s="123"/>
      <c r="N28" s="2" t="s">
        <v>77</v>
      </c>
      <c r="P28" s="55"/>
    </row>
    <row r="29" spans="1:16" ht="15.6" customHeight="1" x14ac:dyDescent="0.3">
      <c r="A29" s="120" t="s">
        <v>235</v>
      </c>
      <c r="B29" s="117"/>
      <c r="C29" s="123"/>
      <c r="N29" s="2" t="s">
        <v>238</v>
      </c>
      <c r="P29" s="55"/>
    </row>
    <row r="30" spans="1:16" x14ac:dyDescent="0.3">
      <c r="A30" s="120" t="s">
        <v>236</v>
      </c>
      <c r="B30" s="117"/>
      <c r="C30" s="123"/>
      <c r="N30" s="2" t="s">
        <v>78</v>
      </c>
      <c r="P30" s="55"/>
    </row>
    <row r="31" spans="1:16" ht="15.6" customHeight="1" x14ac:dyDescent="0.3">
      <c r="A31" s="118"/>
      <c r="B31" s="117"/>
      <c r="C31" s="123"/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232</v>
      </c>
      <c r="B34" s="1" t="s">
        <v>23</v>
      </c>
      <c r="C34" s="72">
        <v>7</v>
      </c>
      <c r="D34" s="73">
        <f>C34+1</f>
        <v>8</v>
      </c>
      <c r="E34" s="72">
        <f t="shared" ref="E34:L34" si="2">D34+1</f>
        <v>9</v>
      </c>
      <c r="F34" s="73">
        <f t="shared" si="2"/>
        <v>10</v>
      </c>
      <c r="G34" s="72">
        <f t="shared" si="2"/>
        <v>11</v>
      </c>
      <c r="H34" s="73">
        <f t="shared" si="2"/>
        <v>12</v>
      </c>
      <c r="I34" s="72">
        <f t="shared" si="2"/>
        <v>13</v>
      </c>
      <c r="J34" s="73">
        <f t="shared" si="2"/>
        <v>14</v>
      </c>
      <c r="K34" s="72">
        <f t="shared" si="2"/>
        <v>15</v>
      </c>
      <c r="L34" s="73">
        <f t="shared" si="2"/>
        <v>16</v>
      </c>
      <c r="M34" s="106" t="s">
        <v>233</v>
      </c>
      <c r="N34" s="106"/>
      <c r="P34" s="55"/>
    </row>
    <row r="35" spans="1:27" ht="18" x14ac:dyDescent="0.3">
      <c r="A35" s="71" t="s">
        <v>24</v>
      </c>
      <c r="B35" s="1" t="s">
        <v>23</v>
      </c>
      <c r="C35" s="72">
        <v>7</v>
      </c>
      <c r="D35" s="73">
        <f t="shared" ref="D35:L36" si="3">C35+1</f>
        <v>8</v>
      </c>
      <c r="E35" s="72">
        <f t="shared" si="3"/>
        <v>9</v>
      </c>
      <c r="F35" s="73">
        <f t="shared" si="3"/>
        <v>10</v>
      </c>
      <c r="G35" s="72">
        <f t="shared" si="3"/>
        <v>11</v>
      </c>
      <c r="H35" s="73">
        <f t="shared" si="3"/>
        <v>12</v>
      </c>
      <c r="I35" s="72">
        <f t="shared" si="3"/>
        <v>13</v>
      </c>
      <c r="J35" s="73">
        <f t="shared" si="3"/>
        <v>14</v>
      </c>
      <c r="K35" s="72">
        <f t="shared" si="3"/>
        <v>15</v>
      </c>
      <c r="L35" s="73">
        <f t="shared" si="3"/>
        <v>16</v>
      </c>
      <c r="M35" s="107" t="s">
        <v>208</v>
      </c>
      <c r="N35" s="107"/>
      <c r="O35" s="3" t="s">
        <v>147</v>
      </c>
      <c r="P35" s="55"/>
    </row>
    <row r="36" spans="1:27" ht="18.600000000000001" thickBot="1" x14ac:dyDescent="0.35">
      <c r="A36" s="74" t="s">
        <v>76</v>
      </c>
      <c r="B36" s="75" t="s">
        <v>105</v>
      </c>
      <c r="C36" s="76">
        <v>6</v>
      </c>
      <c r="D36" s="77">
        <f t="shared" si="3"/>
        <v>7</v>
      </c>
      <c r="E36" s="76">
        <f t="shared" si="3"/>
        <v>8</v>
      </c>
      <c r="F36" s="77">
        <f t="shared" si="3"/>
        <v>9</v>
      </c>
      <c r="G36" s="76">
        <f t="shared" si="3"/>
        <v>10</v>
      </c>
      <c r="H36" s="77">
        <f t="shared" si="3"/>
        <v>11</v>
      </c>
      <c r="I36" s="76">
        <f t="shared" si="3"/>
        <v>12</v>
      </c>
      <c r="J36" s="77">
        <f t="shared" si="3"/>
        <v>13</v>
      </c>
      <c r="K36" s="76">
        <f t="shared" si="3"/>
        <v>14</v>
      </c>
      <c r="L36" s="77">
        <f t="shared" si="3"/>
        <v>15</v>
      </c>
      <c r="M36" s="108" t="s">
        <v>110</v>
      </c>
      <c r="N36" s="108"/>
      <c r="O36" s="78" t="s">
        <v>234</v>
      </c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36"/>
  <sheetViews>
    <sheetView topLeftCell="A9" zoomScale="110" zoomScaleNormal="110" workbookViewId="0">
      <selection activeCell="B38" sqref="B38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213</v>
      </c>
      <c r="C1" s="82"/>
      <c r="D1" s="83"/>
      <c r="E1" s="99"/>
      <c r="F1" s="84"/>
      <c r="G1" s="101" t="s">
        <v>224</v>
      </c>
      <c r="H1" s="82"/>
      <c r="I1" s="84"/>
      <c r="J1" s="85"/>
      <c r="K1" s="86" t="s">
        <v>34</v>
      </c>
      <c r="L1" s="83"/>
      <c r="M1" s="83"/>
      <c r="N1" s="87" t="s">
        <v>215</v>
      </c>
      <c r="O1" s="82"/>
      <c r="P1" s="88"/>
    </row>
    <row r="2" spans="1:16" ht="20.399999999999999" customHeight="1" x14ac:dyDescent="0.3">
      <c r="A2" s="89" t="s">
        <v>120</v>
      </c>
      <c r="B2" s="90" t="s">
        <v>214</v>
      </c>
      <c r="C2" s="90"/>
      <c r="D2" s="91"/>
      <c r="E2" s="92" t="s">
        <v>33</v>
      </c>
      <c r="F2" s="93"/>
      <c r="G2" s="93" t="s">
        <v>214</v>
      </c>
      <c r="H2" s="93"/>
      <c r="I2" s="100" t="s">
        <v>158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4</v>
      </c>
      <c r="C4" s="1"/>
      <c r="D4" s="48" t="s">
        <v>37</v>
      </c>
      <c r="E4" s="1"/>
      <c r="F4" s="49">
        <v>24</v>
      </c>
      <c r="G4" s="102" t="s">
        <v>139</v>
      </c>
      <c r="H4" s="1"/>
      <c r="I4" s="1"/>
      <c r="J4" s="1"/>
      <c r="K4" s="50" t="s">
        <v>119</v>
      </c>
      <c r="L4" s="1"/>
      <c r="M4" s="51">
        <v>0</v>
      </c>
      <c r="N4" s="1"/>
      <c r="O4" s="48" t="s">
        <v>9</v>
      </c>
      <c r="P4" s="98">
        <v>30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16</v>
      </c>
      <c r="B6" s="50" t="s">
        <v>2</v>
      </c>
      <c r="C6" s="109" t="s">
        <v>144</v>
      </c>
      <c r="D6" s="109"/>
      <c r="E6" s="109"/>
      <c r="F6" s="109"/>
      <c r="G6" s="109"/>
      <c r="H6" s="109"/>
      <c r="I6" s="109"/>
      <c r="J6" s="49">
        <v>2</v>
      </c>
      <c r="K6" s="49"/>
      <c r="M6" s="110" t="s">
        <v>73</v>
      </c>
      <c r="N6" s="110"/>
      <c r="O6" s="110"/>
      <c r="P6" s="54">
        <v>10</v>
      </c>
    </row>
    <row r="7" spans="1:16" ht="32.4" customHeight="1" x14ac:dyDescent="0.3">
      <c r="A7" s="80">
        <v>12</v>
      </c>
      <c r="B7" s="50" t="s">
        <v>3</v>
      </c>
      <c r="C7" s="109" t="s">
        <v>113</v>
      </c>
      <c r="D7" s="109"/>
      <c r="E7" s="109"/>
      <c r="F7" s="109"/>
      <c r="G7" s="109"/>
      <c r="H7" s="109"/>
      <c r="I7" s="109"/>
      <c r="J7" s="49">
        <v>0</v>
      </c>
      <c r="K7" s="49"/>
      <c r="M7" s="110" t="s">
        <v>11</v>
      </c>
      <c r="N7" s="110"/>
      <c r="O7" s="110"/>
      <c r="P7" s="54">
        <v>11</v>
      </c>
    </row>
    <row r="8" spans="1:16" ht="32.4" customHeight="1" x14ac:dyDescent="0.3">
      <c r="A8" s="80">
        <v>13</v>
      </c>
      <c r="B8" s="50" t="s">
        <v>4</v>
      </c>
      <c r="C8" s="109" t="s">
        <v>161</v>
      </c>
      <c r="D8" s="109"/>
      <c r="E8" s="109"/>
      <c r="F8" s="109"/>
      <c r="G8" s="109"/>
      <c r="H8" s="109"/>
      <c r="I8" s="109"/>
      <c r="J8" s="49">
        <v>1</v>
      </c>
      <c r="K8" s="49"/>
      <c r="M8" s="110" t="s">
        <v>14</v>
      </c>
      <c r="N8" s="110"/>
      <c r="O8" s="110"/>
      <c r="P8" s="54">
        <v>11</v>
      </c>
    </row>
    <row r="9" spans="1:16" ht="32.4" customHeight="1" x14ac:dyDescent="0.3">
      <c r="A9" s="80">
        <v>17</v>
      </c>
      <c r="B9" s="50" t="s">
        <v>5</v>
      </c>
      <c r="C9" s="109" t="s">
        <v>162</v>
      </c>
      <c r="D9" s="109"/>
      <c r="E9" s="109"/>
      <c r="F9" s="109"/>
      <c r="G9" s="109"/>
      <c r="H9" s="109"/>
      <c r="I9" s="109"/>
      <c r="J9" s="49">
        <v>2</v>
      </c>
      <c r="K9" s="49"/>
      <c r="M9" s="110" t="s">
        <v>12</v>
      </c>
      <c r="N9" s="110"/>
      <c r="O9" s="110"/>
      <c r="P9" s="54">
        <v>13</v>
      </c>
    </row>
    <row r="10" spans="1:16" ht="32.4" customHeight="1" x14ac:dyDescent="0.3">
      <c r="A10" s="80">
        <v>11</v>
      </c>
      <c r="B10" s="50" t="s">
        <v>6</v>
      </c>
      <c r="C10" s="109" t="s">
        <v>113</v>
      </c>
      <c r="D10" s="109"/>
      <c r="E10" s="109"/>
      <c r="F10" s="109"/>
      <c r="G10" s="109"/>
      <c r="H10" s="109"/>
      <c r="I10" s="109"/>
      <c r="J10" s="49">
        <v>0</v>
      </c>
      <c r="K10" s="49"/>
      <c r="M10" s="110" t="s">
        <v>13</v>
      </c>
      <c r="N10" s="110"/>
      <c r="O10" s="110"/>
      <c r="P10" s="54">
        <v>12</v>
      </c>
    </row>
    <row r="11" spans="1:16" ht="32.4" customHeight="1" x14ac:dyDescent="0.3">
      <c r="A11" s="80">
        <v>10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216</v>
      </c>
      <c r="B14" s="112"/>
      <c r="E14" s="41" t="s">
        <v>21</v>
      </c>
      <c r="F14" s="41"/>
      <c r="H14" s="60" t="s">
        <v>96</v>
      </c>
      <c r="I14" s="61">
        <v>30</v>
      </c>
      <c r="J14" s="1">
        <f>K14*1.5</f>
        <v>9</v>
      </c>
      <c r="K14" s="1">
        <f>I14/5</f>
        <v>6</v>
      </c>
      <c r="N14" s="3" t="s">
        <v>223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f>I14*3</f>
        <v>90</v>
      </c>
      <c r="J15" s="65">
        <f>K15*1.5</f>
        <v>27</v>
      </c>
      <c r="K15" s="65">
        <f t="shared" ref="K15:K18" si="0">I15/5</f>
        <v>18</v>
      </c>
      <c r="N15" s="3" t="s">
        <v>167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f>I14*3</f>
        <v>90</v>
      </c>
      <c r="J16" s="1">
        <f>K16*1.5</f>
        <v>27</v>
      </c>
      <c r="K16" s="1">
        <f t="shared" si="0"/>
        <v>18</v>
      </c>
      <c r="N16" s="3" t="s">
        <v>186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f>I14/2</f>
        <v>15</v>
      </c>
      <c r="J17" s="65">
        <f>K17*1.5</f>
        <v>4.5</v>
      </c>
      <c r="K17" s="65">
        <f t="shared" si="0"/>
        <v>3</v>
      </c>
      <c r="N17" s="3" t="s">
        <v>142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f>I14/2</f>
        <v>15</v>
      </c>
      <c r="J18" s="1">
        <f>K18*1.5</f>
        <v>4.5</v>
      </c>
      <c r="K18" s="1">
        <f t="shared" si="0"/>
        <v>3</v>
      </c>
      <c r="N18" s="3" t="s">
        <v>83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226</v>
      </c>
      <c r="J19" s="66" t="s">
        <v>227</v>
      </c>
      <c r="K19" s="66"/>
      <c r="N19" s="3" t="s">
        <v>168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149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N21" s="3" t="s">
        <v>211</v>
      </c>
      <c r="P21" s="69"/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48</v>
      </c>
      <c r="P22" s="69">
        <v>12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O23" s="68" t="s">
        <v>41</v>
      </c>
      <c r="P23" s="69">
        <v>5</v>
      </c>
    </row>
    <row r="24" spans="1:16" ht="15.6" customHeight="1" x14ac:dyDescent="0.3">
      <c r="A24" s="56"/>
      <c r="E24" s="2" t="s">
        <v>125</v>
      </c>
      <c r="M24" s="41"/>
      <c r="N24" s="41"/>
      <c r="P24" s="69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A26" s="56"/>
      <c r="P26" s="55"/>
    </row>
    <row r="27" spans="1:16" ht="15.6" customHeight="1" x14ac:dyDescent="0.3">
      <c r="A27" s="57" t="s">
        <v>43</v>
      </c>
      <c r="B27" s="4"/>
      <c r="C27" s="43" t="s">
        <v>126</v>
      </c>
      <c r="D27" s="6"/>
      <c r="E27" s="43" t="s">
        <v>127</v>
      </c>
      <c r="F27" s="6"/>
      <c r="G27" s="43" t="s">
        <v>128</v>
      </c>
      <c r="H27" s="6"/>
      <c r="I27" s="43"/>
      <c r="J27" s="6"/>
      <c r="K27" s="6"/>
      <c r="N27" s="4" t="s">
        <v>29</v>
      </c>
      <c r="O27" s="6"/>
      <c r="P27" s="53"/>
    </row>
    <row r="28" spans="1:16" ht="15.6" customHeight="1" x14ac:dyDescent="0.3">
      <c r="A28" s="97" t="s">
        <v>30</v>
      </c>
      <c r="B28" s="2" t="s">
        <v>221</v>
      </c>
      <c r="N28" s="2" t="s">
        <v>217</v>
      </c>
      <c r="P28" s="55"/>
    </row>
    <row r="29" spans="1:16" ht="15.6" customHeight="1" x14ac:dyDescent="0.3">
      <c r="A29" s="97" t="s">
        <v>31</v>
      </c>
      <c r="B29" s="2" t="s">
        <v>222</v>
      </c>
      <c r="N29" s="2" t="s">
        <v>32</v>
      </c>
      <c r="P29" s="55"/>
    </row>
    <row r="30" spans="1:16" x14ac:dyDescent="0.3">
      <c r="A30" s="97" t="s">
        <v>39</v>
      </c>
      <c r="B30" s="2" t="s">
        <v>220</v>
      </c>
      <c r="N30" s="2" t="s">
        <v>225</v>
      </c>
      <c r="P30" s="55"/>
    </row>
    <row r="31" spans="1:16" ht="15.6" customHeight="1" x14ac:dyDescent="0.3">
      <c r="A31" s="119"/>
      <c r="N31" s="2" t="s">
        <v>218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180</v>
      </c>
      <c r="B34" s="1" t="s">
        <v>23</v>
      </c>
      <c r="C34" s="72">
        <v>6</v>
      </c>
      <c r="D34" s="73">
        <f>C34+1</f>
        <v>7</v>
      </c>
      <c r="E34" s="72">
        <f t="shared" ref="E34:L34" si="2">D34+1</f>
        <v>8</v>
      </c>
      <c r="F34" s="73">
        <f t="shared" si="2"/>
        <v>9</v>
      </c>
      <c r="G34" s="72">
        <f t="shared" si="2"/>
        <v>10</v>
      </c>
      <c r="H34" s="73">
        <f t="shared" si="2"/>
        <v>11</v>
      </c>
      <c r="I34" s="72">
        <f t="shared" si="2"/>
        <v>12</v>
      </c>
      <c r="J34" s="73">
        <f t="shared" si="2"/>
        <v>13</v>
      </c>
      <c r="K34" s="72">
        <f t="shared" si="2"/>
        <v>14</v>
      </c>
      <c r="L34" s="73">
        <f t="shared" si="2"/>
        <v>15</v>
      </c>
      <c r="M34" s="106" t="s">
        <v>219</v>
      </c>
      <c r="N34" s="106"/>
      <c r="P34" s="55"/>
    </row>
    <row r="35" spans="1:27" ht="18" x14ac:dyDescent="0.3">
      <c r="A35" s="71" t="s">
        <v>24</v>
      </c>
      <c r="B35" s="1" t="s">
        <v>23</v>
      </c>
      <c r="C35" s="72">
        <v>6</v>
      </c>
      <c r="D35" s="73">
        <f t="shared" ref="D35:L36" si="3">C35+1</f>
        <v>7</v>
      </c>
      <c r="E35" s="72">
        <f t="shared" si="3"/>
        <v>8</v>
      </c>
      <c r="F35" s="73">
        <f t="shared" si="3"/>
        <v>9</v>
      </c>
      <c r="G35" s="72">
        <f t="shared" si="3"/>
        <v>10</v>
      </c>
      <c r="H35" s="73">
        <f t="shared" si="3"/>
        <v>11</v>
      </c>
      <c r="I35" s="72">
        <f t="shared" si="3"/>
        <v>12</v>
      </c>
      <c r="J35" s="73">
        <f t="shared" si="3"/>
        <v>13</v>
      </c>
      <c r="K35" s="72">
        <f t="shared" si="3"/>
        <v>14</v>
      </c>
      <c r="L35" s="73">
        <f t="shared" si="3"/>
        <v>15</v>
      </c>
      <c r="M35" s="107" t="s">
        <v>137</v>
      </c>
      <c r="N35" s="107"/>
      <c r="O35" s="3"/>
      <c r="P35" s="55"/>
    </row>
    <row r="36" spans="1:27" ht="18.600000000000001" thickBot="1" x14ac:dyDescent="0.35">
      <c r="A36" s="74" t="s">
        <v>25</v>
      </c>
      <c r="B36" s="75" t="s">
        <v>138</v>
      </c>
      <c r="C36" s="76">
        <v>8</v>
      </c>
      <c r="D36" s="77">
        <f t="shared" si="3"/>
        <v>9</v>
      </c>
      <c r="E36" s="76">
        <f t="shared" si="3"/>
        <v>10</v>
      </c>
      <c r="F36" s="77">
        <f t="shared" si="3"/>
        <v>11</v>
      </c>
      <c r="G36" s="76">
        <f t="shared" si="3"/>
        <v>12</v>
      </c>
      <c r="H36" s="77">
        <f t="shared" si="3"/>
        <v>13</v>
      </c>
      <c r="I36" s="76">
        <f t="shared" si="3"/>
        <v>14</v>
      </c>
      <c r="J36" s="77">
        <f t="shared" si="3"/>
        <v>15</v>
      </c>
      <c r="K36" s="76">
        <f t="shared" si="3"/>
        <v>16</v>
      </c>
      <c r="L36" s="77">
        <f t="shared" si="3"/>
        <v>17</v>
      </c>
      <c r="M36" s="108" t="s">
        <v>28</v>
      </c>
      <c r="N36" s="108"/>
      <c r="O36" s="78"/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36"/>
  <sheetViews>
    <sheetView zoomScale="90" zoomScaleNormal="90" workbookViewId="0">
      <selection activeCell="N20" sqref="N20:P20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198</v>
      </c>
      <c r="C1" s="82"/>
      <c r="D1" s="83"/>
      <c r="E1" s="99"/>
      <c r="F1" s="84"/>
      <c r="G1" s="101" t="s">
        <v>212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199</v>
      </c>
      <c r="C2" s="90"/>
      <c r="D2" s="124"/>
      <c r="E2" s="92" t="s">
        <v>33</v>
      </c>
      <c r="F2" s="93"/>
      <c r="G2" s="93" t="s">
        <v>199</v>
      </c>
      <c r="H2" s="93"/>
      <c r="I2" s="100" t="s">
        <v>158</v>
      </c>
      <c r="J2" s="124"/>
      <c r="K2" s="125" t="s">
        <v>1</v>
      </c>
      <c r="L2" s="126"/>
      <c r="M2" s="126"/>
      <c r="N2" s="90" t="s">
        <v>72</v>
      </c>
      <c r="O2" s="90"/>
      <c r="P2" s="96"/>
    </row>
    <row r="3" spans="1:16" ht="9.6" customHeight="1" x14ac:dyDescent="0.3">
      <c r="A3" s="44"/>
      <c r="B3" s="127"/>
      <c r="C3" s="127"/>
      <c r="D3" s="127"/>
      <c r="E3" s="127"/>
      <c r="F3" s="127"/>
      <c r="G3" s="127"/>
      <c r="H3" s="127"/>
      <c r="I3" s="128"/>
      <c r="J3" s="128"/>
      <c r="K3" s="127"/>
      <c r="L3" s="127"/>
      <c r="M3" s="127"/>
      <c r="N3" s="127"/>
      <c r="O3" s="127"/>
      <c r="P3" s="45"/>
    </row>
    <row r="4" spans="1:16" ht="18.600000000000001" customHeight="1" x14ac:dyDescent="0.3">
      <c r="A4" s="46" t="s">
        <v>8</v>
      </c>
      <c r="B4" s="129">
        <v>2</v>
      </c>
      <c r="C4" s="130"/>
      <c r="D4" s="131" t="s">
        <v>37</v>
      </c>
      <c r="E4" s="130"/>
      <c r="F4" s="132">
        <v>22</v>
      </c>
      <c r="G4" s="133" t="s">
        <v>200</v>
      </c>
      <c r="H4" s="130"/>
      <c r="I4" s="130"/>
      <c r="J4" s="130"/>
      <c r="K4" s="134" t="s">
        <v>119</v>
      </c>
      <c r="L4" s="130"/>
      <c r="M4" s="135">
        <v>0</v>
      </c>
      <c r="N4" s="130"/>
      <c r="O4" s="131" t="s">
        <v>9</v>
      </c>
      <c r="P4" s="98">
        <v>44</v>
      </c>
    </row>
    <row r="5" spans="1:16" ht="19.8" customHeight="1" x14ac:dyDescent="0.3">
      <c r="A5" s="52" t="s">
        <v>29</v>
      </c>
      <c r="B5" s="7"/>
      <c r="C5" s="128"/>
      <c r="D5" s="128"/>
      <c r="E5" s="128"/>
      <c r="F5" s="128"/>
      <c r="G5" s="128"/>
      <c r="H5" s="128"/>
      <c r="I5" s="128"/>
      <c r="J5" s="128" t="s">
        <v>118</v>
      </c>
      <c r="K5" s="128"/>
      <c r="L5" s="128"/>
      <c r="M5" s="7" t="s">
        <v>10</v>
      </c>
      <c r="N5" s="6"/>
      <c r="O5" s="6"/>
      <c r="P5" s="53"/>
    </row>
    <row r="6" spans="1:16" ht="32.4" customHeight="1" x14ac:dyDescent="0.3">
      <c r="A6" s="80">
        <v>13</v>
      </c>
      <c r="B6" s="134" t="s">
        <v>2</v>
      </c>
      <c r="C6" s="136" t="s">
        <v>201</v>
      </c>
      <c r="D6" s="136"/>
      <c r="E6" s="136"/>
      <c r="F6" s="136"/>
      <c r="G6" s="136"/>
      <c r="H6" s="136"/>
      <c r="I6" s="136"/>
      <c r="J6" s="132">
        <v>1</v>
      </c>
      <c r="K6" s="132"/>
      <c r="L6" s="128"/>
      <c r="M6" s="137" t="s">
        <v>73</v>
      </c>
      <c r="N6" s="137"/>
      <c r="O6" s="137"/>
      <c r="P6" s="54">
        <v>8</v>
      </c>
    </row>
    <row r="7" spans="1:16" ht="32.4" customHeight="1" x14ac:dyDescent="0.3">
      <c r="A7" s="80">
        <v>10</v>
      </c>
      <c r="B7" s="134" t="s">
        <v>3</v>
      </c>
      <c r="C7" s="136" t="s">
        <v>113</v>
      </c>
      <c r="D7" s="136"/>
      <c r="E7" s="136"/>
      <c r="F7" s="136"/>
      <c r="G7" s="136"/>
      <c r="H7" s="136"/>
      <c r="I7" s="136"/>
      <c r="J7" s="132">
        <v>0</v>
      </c>
      <c r="K7" s="132"/>
      <c r="L7" s="128"/>
      <c r="M7" s="137" t="s">
        <v>11</v>
      </c>
      <c r="N7" s="137"/>
      <c r="O7" s="137"/>
      <c r="P7" s="54">
        <v>9</v>
      </c>
    </row>
    <row r="8" spans="1:16" ht="32.4" customHeight="1" x14ac:dyDescent="0.3">
      <c r="A8" s="80">
        <v>16</v>
      </c>
      <c r="B8" s="134" t="s">
        <v>4</v>
      </c>
      <c r="C8" s="136" t="s">
        <v>161</v>
      </c>
      <c r="D8" s="136"/>
      <c r="E8" s="136"/>
      <c r="F8" s="136"/>
      <c r="G8" s="136"/>
      <c r="H8" s="136"/>
      <c r="I8" s="136"/>
      <c r="J8" s="132">
        <v>2</v>
      </c>
      <c r="K8" s="132"/>
      <c r="L8" s="128"/>
      <c r="M8" s="137" t="s">
        <v>14</v>
      </c>
      <c r="N8" s="137"/>
      <c r="O8" s="137"/>
      <c r="P8" s="54">
        <v>10</v>
      </c>
    </row>
    <row r="9" spans="1:16" ht="32.4" customHeight="1" x14ac:dyDescent="0.3">
      <c r="A9" s="80">
        <v>10</v>
      </c>
      <c r="B9" s="134" t="s">
        <v>5</v>
      </c>
      <c r="C9" s="136" t="s">
        <v>202</v>
      </c>
      <c r="D9" s="136"/>
      <c r="E9" s="136"/>
      <c r="F9" s="136"/>
      <c r="G9" s="136"/>
      <c r="H9" s="136"/>
      <c r="I9" s="136"/>
      <c r="J9" s="132">
        <v>0</v>
      </c>
      <c r="K9" s="132"/>
      <c r="L9" s="128"/>
      <c r="M9" s="137" t="s">
        <v>12</v>
      </c>
      <c r="N9" s="137"/>
      <c r="O9" s="137"/>
      <c r="P9" s="54">
        <v>13</v>
      </c>
    </row>
    <row r="10" spans="1:16" ht="32.4" customHeight="1" x14ac:dyDescent="0.3">
      <c r="A10" s="80">
        <v>13</v>
      </c>
      <c r="B10" s="134" t="s">
        <v>6</v>
      </c>
      <c r="C10" s="136" t="s">
        <v>203</v>
      </c>
      <c r="D10" s="136"/>
      <c r="E10" s="136"/>
      <c r="F10" s="136"/>
      <c r="G10" s="136"/>
      <c r="H10" s="136"/>
      <c r="I10" s="136"/>
      <c r="J10" s="132">
        <v>1</v>
      </c>
      <c r="K10" s="132"/>
      <c r="L10" s="128"/>
      <c r="M10" s="137" t="s">
        <v>13</v>
      </c>
      <c r="N10" s="137"/>
      <c r="O10" s="137"/>
      <c r="P10" s="54">
        <v>11</v>
      </c>
    </row>
    <row r="11" spans="1:16" ht="32.4" customHeight="1" x14ac:dyDescent="0.3">
      <c r="A11" s="80">
        <v>11</v>
      </c>
      <c r="B11" s="134" t="s">
        <v>7</v>
      </c>
      <c r="C11" s="136" t="s">
        <v>116</v>
      </c>
      <c r="D11" s="136"/>
      <c r="E11" s="136"/>
      <c r="F11" s="136"/>
      <c r="G11" s="136"/>
      <c r="H11" s="136"/>
      <c r="I11" s="136"/>
      <c r="J11" s="132">
        <v>0</v>
      </c>
      <c r="K11" s="132"/>
      <c r="L11" s="128"/>
      <c r="M11" s="128"/>
      <c r="N11" s="128"/>
      <c r="O11" s="128"/>
      <c r="P11" s="55"/>
    </row>
    <row r="12" spans="1:16" ht="17.399999999999999" customHeight="1" x14ac:dyDescent="0.3">
      <c r="A12" s="56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55"/>
    </row>
    <row r="13" spans="1:16" s="3" customFormat="1" ht="15.6" customHeight="1" x14ac:dyDescent="0.3">
      <c r="A13" s="57" t="s">
        <v>16</v>
      </c>
      <c r="B13" s="4"/>
      <c r="C13" s="138"/>
      <c r="D13" s="127"/>
      <c r="E13" s="4" t="s">
        <v>17</v>
      </c>
      <c r="F13" s="4"/>
      <c r="G13" s="4"/>
      <c r="H13" s="138"/>
      <c r="I13" s="139" t="s">
        <v>91</v>
      </c>
      <c r="J13" s="139" t="s">
        <v>92</v>
      </c>
      <c r="K13" s="139" t="s">
        <v>93</v>
      </c>
      <c r="L13" s="127"/>
      <c r="M13" s="127"/>
      <c r="N13" s="4" t="s">
        <v>79</v>
      </c>
      <c r="O13" s="5"/>
      <c r="P13" s="59"/>
    </row>
    <row r="14" spans="1:16" s="3" customFormat="1" ht="15.6" customHeight="1" x14ac:dyDescent="0.3">
      <c r="A14" s="111" t="s">
        <v>204</v>
      </c>
      <c r="B14" s="140"/>
      <c r="C14" s="127"/>
      <c r="D14" s="127"/>
      <c r="E14" s="138" t="s">
        <v>21</v>
      </c>
      <c r="F14" s="138"/>
      <c r="G14" s="127"/>
      <c r="H14" s="141" t="s">
        <v>96</v>
      </c>
      <c r="I14" s="142">
        <v>20</v>
      </c>
      <c r="J14" s="130">
        <f>K14*1.5</f>
        <v>6</v>
      </c>
      <c r="K14" s="130">
        <f>I14/5</f>
        <v>4</v>
      </c>
      <c r="L14" s="127"/>
      <c r="M14" s="127"/>
      <c r="N14" s="127" t="s">
        <v>80</v>
      </c>
      <c r="O14" s="127"/>
      <c r="P14" s="45"/>
    </row>
    <row r="15" spans="1:16" s="3" customFormat="1" ht="15.6" customHeight="1" x14ac:dyDescent="0.3">
      <c r="A15" s="111"/>
      <c r="B15" s="140"/>
      <c r="C15" s="127"/>
      <c r="D15" s="127"/>
      <c r="E15" s="143" t="s">
        <v>38</v>
      </c>
      <c r="F15" s="143"/>
      <c r="G15" s="144"/>
      <c r="H15" s="145" t="s">
        <v>97</v>
      </c>
      <c r="I15" s="146">
        <v>60</v>
      </c>
      <c r="J15" s="146">
        <f>K15*1.5</f>
        <v>18</v>
      </c>
      <c r="K15" s="146">
        <f t="shared" ref="K15:K18" si="0">I15/5</f>
        <v>12</v>
      </c>
      <c r="L15" s="127"/>
      <c r="M15" s="127"/>
      <c r="N15" s="127" t="s">
        <v>167</v>
      </c>
      <c r="O15" s="127"/>
      <c r="P15" s="45"/>
    </row>
    <row r="16" spans="1:16" s="3" customFormat="1" ht="15.6" customHeight="1" x14ac:dyDescent="0.3">
      <c r="A16" s="111"/>
      <c r="B16" s="140"/>
      <c r="C16" s="127"/>
      <c r="D16" s="127"/>
      <c r="E16" s="138" t="s">
        <v>18</v>
      </c>
      <c r="F16" s="138"/>
      <c r="G16" s="127"/>
      <c r="H16" s="141" t="s">
        <v>96</v>
      </c>
      <c r="I16" s="142">
        <v>60</v>
      </c>
      <c r="J16" s="130">
        <f>K16*1.5</f>
        <v>18</v>
      </c>
      <c r="K16" s="130">
        <f t="shared" si="0"/>
        <v>12</v>
      </c>
      <c r="L16" s="127"/>
      <c r="M16" s="127"/>
      <c r="N16" s="127" t="s">
        <v>184</v>
      </c>
      <c r="O16" s="127"/>
      <c r="P16" s="45"/>
    </row>
    <row r="17" spans="1:16" s="3" customFormat="1" ht="15.6" customHeight="1" x14ac:dyDescent="0.3">
      <c r="A17" s="111"/>
      <c r="B17" s="140"/>
      <c r="C17" s="127"/>
      <c r="D17" s="127"/>
      <c r="E17" s="143" t="s">
        <v>35</v>
      </c>
      <c r="F17" s="143"/>
      <c r="G17" s="144"/>
      <c r="H17" s="145" t="s">
        <v>96</v>
      </c>
      <c r="I17" s="146">
        <v>10</v>
      </c>
      <c r="J17" s="146">
        <f>K17*1.5</f>
        <v>3</v>
      </c>
      <c r="K17" s="146">
        <f t="shared" si="0"/>
        <v>2</v>
      </c>
      <c r="L17" s="127"/>
      <c r="M17" s="127"/>
      <c r="N17" s="127" t="s">
        <v>83</v>
      </c>
      <c r="O17" s="127"/>
      <c r="P17" s="45"/>
    </row>
    <row r="18" spans="1:16" s="3" customFormat="1" ht="15.6" customHeight="1" x14ac:dyDescent="0.3">
      <c r="A18" s="44"/>
      <c r="B18" s="127"/>
      <c r="C18" s="127"/>
      <c r="D18" s="127"/>
      <c r="E18" s="138" t="s">
        <v>36</v>
      </c>
      <c r="F18" s="138"/>
      <c r="G18" s="127"/>
      <c r="H18" s="141" t="s">
        <v>96</v>
      </c>
      <c r="I18" s="142">
        <v>10</v>
      </c>
      <c r="J18" s="130">
        <f>K18*1.5</f>
        <v>3</v>
      </c>
      <c r="K18" s="130">
        <f t="shared" si="0"/>
        <v>2</v>
      </c>
      <c r="L18" s="127"/>
      <c r="M18" s="127"/>
      <c r="N18" s="127" t="s">
        <v>210</v>
      </c>
      <c r="O18" s="127"/>
      <c r="P18" s="45"/>
    </row>
    <row r="19" spans="1:16" s="3" customFormat="1" ht="15.6" customHeight="1" x14ac:dyDescent="0.3">
      <c r="A19" s="57" t="s">
        <v>87</v>
      </c>
      <c r="B19" s="4"/>
      <c r="C19" s="127"/>
      <c r="D19" s="127"/>
      <c r="E19" s="143" t="s">
        <v>22</v>
      </c>
      <c r="F19" s="143"/>
      <c r="G19" s="144"/>
      <c r="H19" s="145" t="s">
        <v>98</v>
      </c>
      <c r="I19" s="147" t="s">
        <v>95</v>
      </c>
      <c r="J19" s="147" t="s">
        <v>94</v>
      </c>
      <c r="K19" s="147"/>
      <c r="L19" s="127"/>
      <c r="M19" s="127"/>
      <c r="N19" s="127" t="s">
        <v>211</v>
      </c>
      <c r="O19" s="127"/>
      <c r="P19" s="45"/>
    </row>
    <row r="20" spans="1:16" s="3" customFormat="1" ht="15.6" customHeight="1" x14ac:dyDescent="0.3">
      <c r="A20" s="44" t="s">
        <v>44</v>
      </c>
      <c r="B20" s="67">
        <v>0</v>
      </c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48" t="s">
        <v>149</v>
      </c>
      <c r="O20" s="148"/>
      <c r="P20" s="104"/>
    </row>
    <row r="21" spans="1:16" s="3" customFormat="1" ht="15.6" customHeight="1" x14ac:dyDescent="0.3">
      <c r="A21" s="44" t="s">
        <v>41</v>
      </c>
      <c r="B21" s="67">
        <v>500</v>
      </c>
      <c r="C21" s="127"/>
      <c r="D21" s="127"/>
      <c r="E21" s="149" t="s">
        <v>40</v>
      </c>
      <c r="F21" s="127"/>
      <c r="G21" s="127"/>
      <c r="H21" s="127"/>
      <c r="I21" s="127"/>
      <c r="J21" s="127"/>
      <c r="K21" s="127"/>
      <c r="L21" s="127"/>
      <c r="M21" s="127"/>
      <c r="N21" s="127"/>
      <c r="O21" s="150" t="s">
        <v>48</v>
      </c>
      <c r="P21" s="69">
        <v>11</v>
      </c>
    </row>
    <row r="22" spans="1:16" ht="15.6" customHeight="1" x14ac:dyDescent="0.3">
      <c r="A22" s="56" t="s">
        <v>45</v>
      </c>
      <c r="B22" s="67">
        <v>0</v>
      </c>
      <c r="C22" s="128"/>
      <c r="D22" s="128"/>
      <c r="E22" s="128" t="s">
        <v>122</v>
      </c>
      <c r="F22" s="128"/>
      <c r="G22" s="128"/>
      <c r="H22" s="128"/>
      <c r="I22" s="128"/>
      <c r="J22" s="128"/>
      <c r="K22" s="128"/>
      <c r="L22" s="128"/>
      <c r="M22" s="128"/>
      <c r="N22" s="127"/>
      <c r="O22" s="150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C23" s="128"/>
      <c r="D23" s="128"/>
      <c r="E23" s="128" t="s">
        <v>124</v>
      </c>
      <c r="F23" s="128"/>
      <c r="G23" s="128"/>
      <c r="H23" s="128"/>
      <c r="I23" s="128"/>
      <c r="J23" s="128"/>
      <c r="K23" s="128"/>
      <c r="L23" s="128"/>
      <c r="M23" s="138"/>
      <c r="N23" s="151"/>
      <c r="O23" s="128"/>
      <c r="P23" s="55"/>
    </row>
    <row r="24" spans="1:16" ht="15.6" customHeight="1" x14ac:dyDescent="0.3">
      <c r="A24" s="56"/>
      <c r="B24" s="128"/>
      <c r="C24" s="128"/>
      <c r="D24" s="128"/>
      <c r="E24" s="128" t="s">
        <v>125</v>
      </c>
      <c r="F24" s="128"/>
      <c r="G24" s="128"/>
      <c r="H24" s="128"/>
      <c r="I24" s="128"/>
      <c r="J24" s="128"/>
      <c r="K24" s="128"/>
      <c r="L24" s="128"/>
      <c r="M24" s="138"/>
      <c r="N24" s="138"/>
      <c r="O24" s="128"/>
      <c r="P24" s="55"/>
    </row>
    <row r="25" spans="1:16" ht="15.6" customHeight="1" x14ac:dyDescent="0.3">
      <c r="A25" s="56"/>
      <c r="B25" s="128"/>
      <c r="C25" s="128"/>
      <c r="D25" s="128"/>
      <c r="E25" s="128" t="s">
        <v>123</v>
      </c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55"/>
    </row>
    <row r="26" spans="1:16" ht="15.6" customHeight="1" x14ac:dyDescent="0.3">
      <c r="A26" s="56"/>
      <c r="B26" s="128"/>
      <c r="C26" s="128"/>
      <c r="D26" s="128"/>
      <c r="E26" s="128" t="s">
        <v>155</v>
      </c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55"/>
    </row>
    <row r="27" spans="1:16" ht="15.6" customHeight="1" x14ac:dyDescent="0.3">
      <c r="A27" s="115" t="s">
        <v>154</v>
      </c>
      <c r="B27" s="152"/>
      <c r="C27" s="152" t="s">
        <v>8</v>
      </c>
      <c r="D27" s="128"/>
      <c r="E27" s="142"/>
      <c r="F27" s="128"/>
      <c r="G27" s="142"/>
      <c r="H27" s="128"/>
      <c r="I27" s="142"/>
      <c r="J27" s="128"/>
      <c r="K27" s="128"/>
      <c r="L27" s="128"/>
      <c r="M27" s="128"/>
      <c r="N27" s="4" t="s">
        <v>29</v>
      </c>
      <c r="O27" s="6"/>
      <c r="P27" s="53"/>
    </row>
    <row r="28" spans="1:16" ht="15.6" customHeight="1" x14ac:dyDescent="0.3">
      <c r="A28" s="118" t="s">
        <v>153</v>
      </c>
      <c r="B28" s="153"/>
      <c r="C28" s="154">
        <v>2</v>
      </c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 t="s">
        <v>77</v>
      </c>
      <c r="O28" s="128"/>
      <c r="P28" s="55"/>
    </row>
    <row r="29" spans="1:16" ht="15.6" customHeight="1" x14ac:dyDescent="0.3">
      <c r="A29" s="118" t="s">
        <v>151</v>
      </c>
      <c r="B29" s="153"/>
      <c r="C29" s="153">
        <v>3</v>
      </c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 t="s">
        <v>32</v>
      </c>
      <c r="O29" s="128"/>
      <c r="P29" s="55"/>
    </row>
    <row r="30" spans="1:16" x14ac:dyDescent="0.3">
      <c r="A30" s="118" t="s">
        <v>181</v>
      </c>
      <c r="B30" s="153"/>
      <c r="C30" s="153">
        <v>3</v>
      </c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 t="s">
        <v>78</v>
      </c>
      <c r="O30" s="128"/>
      <c r="P30" s="55"/>
    </row>
    <row r="31" spans="1:16" ht="15.6" customHeight="1" x14ac:dyDescent="0.3">
      <c r="A31" s="118" t="s">
        <v>24</v>
      </c>
      <c r="B31" s="153"/>
      <c r="C31" s="153">
        <v>3</v>
      </c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 t="s">
        <v>205</v>
      </c>
      <c r="O31" s="128"/>
      <c r="P31" s="55"/>
    </row>
    <row r="32" spans="1:16" x14ac:dyDescent="0.3">
      <c r="A32" s="56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135</v>
      </c>
      <c r="B34" s="130" t="s">
        <v>23</v>
      </c>
      <c r="C34" s="155">
        <v>7</v>
      </c>
      <c r="D34" s="156">
        <f>C34+1</f>
        <v>8</v>
      </c>
      <c r="E34" s="155">
        <f t="shared" ref="E34:L34" si="2">D34+1</f>
        <v>9</v>
      </c>
      <c r="F34" s="156">
        <f t="shared" si="2"/>
        <v>10</v>
      </c>
      <c r="G34" s="155">
        <f t="shared" si="2"/>
        <v>11</v>
      </c>
      <c r="H34" s="156">
        <f t="shared" si="2"/>
        <v>12</v>
      </c>
      <c r="I34" s="155">
        <f t="shared" si="2"/>
        <v>13</v>
      </c>
      <c r="J34" s="156">
        <f t="shared" si="2"/>
        <v>14</v>
      </c>
      <c r="K34" s="155">
        <f t="shared" si="2"/>
        <v>15</v>
      </c>
      <c r="L34" s="156">
        <f t="shared" si="2"/>
        <v>16</v>
      </c>
      <c r="M34" s="106" t="s">
        <v>206</v>
      </c>
      <c r="N34" s="106"/>
      <c r="O34" s="128" t="s">
        <v>209</v>
      </c>
      <c r="P34" s="55"/>
    </row>
    <row r="35" spans="1:27" ht="18" x14ac:dyDescent="0.3">
      <c r="A35" s="71" t="s">
        <v>24</v>
      </c>
      <c r="B35" s="130" t="s">
        <v>23</v>
      </c>
      <c r="C35" s="155">
        <v>7</v>
      </c>
      <c r="D35" s="156">
        <f t="shared" ref="D35:L36" si="3">C35+1</f>
        <v>8</v>
      </c>
      <c r="E35" s="155">
        <f t="shared" si="3"/>
        <v>9</v>
      </c>
      <c r="F35" s="156">
        <f t="shared" si="3"/>
        <v>10</v>
      </c>
      <c r="G35" s="155">
        <f t="shared" si="3"/>
        <v>11</v>
      </c>
      <c r="H35" s="156">
        <f t="shared" si="3"/>
        <v>12</v>
      </c>
      <c r="I35" s="155">
        <f t="shared" si="3"/>
        <v>13</v>
      </c>
      <c r="J35" s="156">
        <f t="shared" si="3"/>
        <v>14</v>
      </c>
      <c r="K35" s="155">
        <f t="shared" si="3"/>
        <v>15</v>
      </c>
      <c r="L35" s="156">
        <f t="shared" si="3"/>
        <v>16</v>
      </c>
      <c r="M35" s="157" t="s">
        <v>208</v>
      </c>
      <c r="N35" s="157"/>
      <c r="O35" s="127" t="s">
        <v>147</v>
      </c>
      <c r="P35" s="55"/>
    </row>
    <row r="36" spans="1:27" ht="18.600000000000001" thickBot="1" x14ac:dyDescent="0.35">
      <c r="A36" s="74" t="s">
        <v>181</v>
      </c>
      <c r="B36" s="75" t="s">
        <v>207</v>
      </c>
      <c r="C36" s="76">
        <v>8</v>
      </c>
      <c r="D36" s="77">
        <f t="shared" si="3"/>
        <v>9</v>
      </c>
      <c r="E36" s="76">
        <f t="shared" si="3"/>
        <v>10</v>
      </c>
      <c r="F36" s="77">
        <f t="shared" si="3"/>
        <v>11</v>
      </c>
      <c r="G36" s="76">
        <f t="shared" si="3"/>
        <v>12</v>
      </c>
      <c r="H36" s="77">
        <f t="shared" si="3"/>
        <v>13</v>
      </c>
      <c r="I36" s="76">
        <f t="shared" si="3"/>
        <v>14</v>
      </c>
      <c r="J36" s="77">
        <f t="shared" si="3"/>
        <v>15</v>
      </c>
      <c r="K36" s="76">
        <f t="shared" si="3"/>
        <v>16</v>
      </c>
      <c r="L36" s="77">
        <f t="shared" si="3"/>
        <v>17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36"/>
  <sheetViews>
    <sheetView zoomScale="90" zoomScaleNormal="90" workbookViewId="0">
      <selection activeCell="I18" sqref="I18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177</v>
      </c>
      <c r="C1" s="82"/>
      <c r="D1" s="83"/>
      <c r="E1" s="99"/>
      <c r="F1" s="84"/>
      <c r="G1" s="101" t="s">
        <v>197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176</v>
      </c>
      <c r="H2" s="93"/>
      <c r="I2" s="100" t="s">
        <v>131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4</v>
      </c>
      <c r="C4" s="1"/>
      <c r="D4" s="48" t="s">
        <v>37</v>
      </c>
      <c r="E4" s="1"/>
      <c r="F4" s="49">
        <v>20</v>
      </c>
      <c r="G4" s="102" t="s">
        <v>88</v>
      </c>
      <c r="H4" s="1"/>
      <c r="I4" s="1"/>
      <c r="J4" s="1"/>
      <c r="K4" s="50" t="s">
        <v>119</v>
      </c>
      <c r="L4" s="1"/>
      <c r="M4" s="51">
        <v>2</v>
      </c>
      <c r="N4" s="1"/>
      <c r="O4" s="48" t="s">
        <v>9</v>
      </c>
      <c r="P4" s="98">
        <v>26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9</v>
      </c>
      <c r="B6" s="50" t="s">
        <v>2</v>
      </c>
      <c r="C6" s="109" t="s">
        <v>111</v>
      </c>
      <c r="D6" s="109"/>
      <c r="E6" s="109"/>
      <c r="F6" s="109"/>
      <c r="G6" s="109"/>
      <c r="H6" s="109"/>
      <c r="I6" s="109"/>
      <c r="J6" s="49">
        <v>0</v>
      </c>
      <c r="K6" s="49"/>
      <c r="M6" s="110" t="s">
        <v>73</v>
      </c>
      <c r="N6" s="110"/>
      <c r="O6" s="110"/>
      <c r="P6" s="54">
        <v>12</v>
      </c>
    </row>
    <row r="7" spans="1:16" ht="32.4" customHeight="1" x14ac:dyDescent="0.3">
      <c r="A7" s="80">
        <v>16</v>
      </c>
      <c r="B7" s="50" t="s">
        <v>3</v>
      </c>
      <c r="C7" s="109" t="s">
        <v>145</v>
      </c>
      <c r="D7" s="109"/>
      <c r="E7" s="109"/>
      <c r="F7" s="109"/>
      <c r="G7" s="109"/>
      <c r="H7" s="109"/>
      <c r="I7" s="109"/>
      <c r="J7" s="49">
        <v>2</v>
      </c>
      <c r="K7" s="49"/>
      <c r="M7" s="110" t="s">
        <v>11</v>
      </c>
      <c r="N7" s="110"/>
      <c r="O7" s="110"/>
      <c r="P7" s="54">
        <v>13</v>
      </c>
    </row>
    <row r="8" spans="1:16" ht="32.4" customHeight="1" x14ac:dyDescent="0.3">
      <c r="A8" s="80">
        <v>13</v>
      </c>
      <c r="B8" s="50" t="s">
        <v>4</v>
      </c>
      <c r="C8" s="109" t="s">
        <v>161</v>
      </c>
      <c r="D8" s="109"/>
      <c r="E8" s="109"/>
      <c r="F8" s="109"/>
      <c r="G8" s="109"/>
      <c r="H8" s="109"/>
      <c r="I8" s="109"/>
      <c r="J8" s="49">
        <v>1</v>
      </c>
      <c r="K8" s="49"/>
      <c r="M8" s="110" t="s">
        <v>14</v>
      </c>
      <c r="N8" s="110"/>
      <c r="O8" s="110"/>
      <c r="P8" s="54">
        <v>12</v>
      </c>
    </row>
    <row r="9" spans="1:16" ht="32.4" customHeight="1" x14ac:dyDescent="0.3">
      <c r="A9" s="80">
        <v>14</v>
      </c>
      <c r="B9" s="50" t="s">
        <v>5</v>
      </c>
      <c r="C9" s="109" t="s">
        <v>162</v>
      </c>
      <c r="D9" s="109"/>
      <c r="E9" s="109"/>
      <c r="F9" s="109"/>
      <c r="G9" s="109"/>
      <c r="H9" s="109"/>
      <c r="I9" s="109"/>
      <c r="J9" s="49">
        <v>1</v>
      </c>
      <c r="K9" s="49"/>
      <c r="M9" s="110" t="s">
        <v>12</v>
      </c>
      <c r="N9" s="110"/>
      <c r="O9" s="110"/>
      <c r="P9" s="54">
        <v>16</v>
      </c>
    </row>
    <row r="10" spans="1:16" ht="32.4" customHeight="1" x14ac:dyDescent="0.3">
      <c r="A10" s="80">
        <v>6</v>
      </c>
      <c r="B10" s="50" t="s">
        <v>6</v>
      </c>
      <c r="C10" s="109" t="s">
        <v>146</v>
      </c>
      <c r="D10" s="109"/>
      <c r="E10" s="109"/>
      <c r="F10" s="109"/>
      <c r="G10" s="109"/>
      <c r="H10" s="109"/>
      <c r="I10" s="109"/>
      <c r="J10" s="49">
        <v>-1</v>
      </c>
      <c r="K10" s="49"/>
      <c r="M10" s="110" t="s">
        <v>13</v>
      </c>
      <c r="N10" s="110"/>
      <c r="O10" s="110"/>
      <c r="P10" s="54">
        <v>14</v>
      </c>
    </row>
    <row r="11" spans="1:16" ht="32.4" customHeight="1" x14ac:dyDescent="0.3">
      <c r="A11" s="80">
        <v>10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179</v>
      </c>
      <c r="B14" s="112"/>
      <c r="E14" s="41" t="s">
        <v>21</v>
      </c>
      <c r="F14" s="41"/>
      <c r="H14" s="60" t="s">
        <v>96</v>
      </c>
      <c r="I14" s="61">
        <v>40</v>
      </c>
      <c r="J14" s="1">
        <f>K14*1.5</f>
        <v>12</v>
      </c>
      <c r="K14" s="1">
        <f>I14/5</f>
        <v>8</v>
      </c>
      <c r="N14" s="3" t="s">
        <v>183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f>I14*3</f>
        <v>120</v>
      </c>
      <c r="J15" s="65">
        <f>K15*1.5</f>
        <v>36</v>
      </c>
      <c r="K15" s="65">
        <f t="shared" ref="K15:K18" si="0">I15/5</f>
        <v>24</v>
      </c>
      <c r="N15" s="3" t="s">
        <v>167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f>I14*3</f>
        <v>120</v>
      </c>
      <c r="J16" s="1">
        <f>K16*1.5</f>
        <v>36</v>
      </c>
      <c r="K16" s="1">
        <f t="shared" si="0"/>
        <v>24</v>
      </c>
      <c r="N16" s="3" t="s">
        <v>184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f>I14/2</f>
        <v>20</v>
      </c>
      <c r="J17" s="65">
        <f>K17*1.5</f>
        <v>6</v>
      </c>
      <c r="K17" s="65">
        <f t="shared" si="0"/>
        <v>4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f>I14/2</f>
        <v>20</v>
      </c>
      <c r="J18" s="1">
        <f>K18*1.5</f>
        <v>6</v>
      </c>
      <c r="K18" s="1">
        <f t="shared" si="0"/>
        <v>4</v>
      </c>
      <c r="N18" s="3" t="s">
        <v>185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165</v>
      </c>
      <c r="J19" s="66" t="s">
        <v>164</v>
      </c>
      <c r="K19" s="66"/>
      <c r="N19" s="3" t="s">
        <v>186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149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9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121" t="s">
        <v>189</v>
      </c>
      <c r="C25" s="123">
        <v>0.45</v>
      </c>
      <c r="E25" s="2" t="s">
        <v>123</v>
      </c>
      <c r="P25" s="55"/>
    </row>
    <row r="26" spans="1:16" ht="15.6" customHeight="1" x14ac:dyDescent="0.3">
      <c r="A26" s="122" t="s">
        <v>194</v>
      </c>
      <c r="C26" s="123">
        <v>0.4</v>
      </c>
      <c r="E26" s="2" t="s">
        <v>155</v>
      </c>
      <c r="P26" s="55"/>
    </row>
    <row r="27" spans="1:16" ht="15.6" customHeight="1" x14ac:dyDescent="0.3">
      <c r="A27" s="118" t="s">
        <v>190</v>
      </c>
      <c r="B27" s="114"/>
      <c r="C27" s="123">
        <v>0.45</v>
      </c>
      <c r="E27" s="61"/>
      <c r="G27" s="61"/>
      <c r="I27" s="61"/>
      <c r="N27" s="4" t="s">
        <v>29</v>
      </c>
      <c r="O27" s="6"/>
      <c r="P27" s="53"/>
    </row>
    <row r="28" spans="1:16" ht="15.6" customHeight="1" x14ac:dyDescent="0.3">
      <c r="A28" s="116" t="s">
        <v>191</v>
      </c>
      <c r="B28" s="117"/>
      <c r="C28" s="123">
        <v>0.45</v>
      </c>
      <c r="E28" s="120" t="s">
        <v>196</v>
      </c>
      <c r="N28" s="2" t="s">
        <v>77</v>
      </c>
      <c r="P28" s="55"/>
    </row>
    <row r="29" spans="1:16" ht="15.6" customHeight="1" x14ac:dyDescent="0.3">
      <c r="A29" s="116" t="s">
        <v>192</v>
      </c>
      <c r="B29" s="117"/>
      <c r="C29" s="123">
        <v>0.92</v>
      </c>
      <c r="N29" s="2" t="s">
        <v>187</v>
      </c>
      <c r="P29" s="55"/>
    </row>
    <row r="30" spans="1:16" x14ac:dyDescent="0.3">
      <c r="A30" s="118" t="s">
        <v>193</v>
      </c>
      <c r="B30" s="117"/>
      <c r="C30" s="123">
        <v>0.36</v>
      </c>
      <c r="N30" s="2" t="s">
        <v>188</v>
      </c>
      <c r="P30" s="55"/>
    </row>
    <row r="31" spans="1:16" ht="15.6" customHeight="1" x14ac:dyDescent="0.3">
      <c r="A31" s="118" t="s">
        <v>195</v>
      </c>
      <c r="B31" s="117"/>
      <c r="C31" s="123">
        <v>0.8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180</v>
      </c>
      <c r="B34" s="1" t="s">
        <v>23</v>
      </c>
      <c r="C34" s="72">
        <v>8</v>
      </c>
      <c r="D34" s="73">
        <f>C34+1</f>
        <v>9</v>
      </c>
      <c r="E34" s="72">
        <f t="shared" ref="E34:L34" si="2">D34+1</f>
        <v>10</v>
      </c>
      <c r="F34" s="73">
        <f t="shared" si="2"/>
        <v>11</v>
      </c>
      <c r="G34" s="72">
        <f t="shared" si="2"/>
        <v>12</v>
      </c>
      <c r="H34" s="73">
        <f t="shared" si="2"/>
        <v>13</v>
      </c>
      <c r="I34" s="72">
        <f t="shared" si="2"/>
        <v>14</v>
      </c>
      <c r="J34" s="73">
        <f t="shared" si="2"/>
        <v>15</v>
      </c>
      <c r="K34" s="72">
        <f t="shared" si="2"/>
        <v>16</v>
      </c>
      <c r="L34" s="73">
        <f t="shared" si="2"/>
        <v>17</v>
      </c>
      <c r="M34" s="106" t="s">
        <v>107</v>
      </c>
      <c r="N34" s="106"/>
      <c r="P34" s="55"/>
    </row>
    <row r="35" spans="1:27" ht="18" x14ac:dyDescent="0.3">
      <c r="A35" s="71" t="s">
        <v>24</v>
      </c>
      <c r="B35" s="1" t="s">
        <v>23</v>
      </c>
      <c r="C35" s="72">
        <v>8</v>
      </c>
      <c r="D35" s="73">
        <f t="shared" ref="D35:L36" si="3">C35+1</f>
        <v>9</v>
      </c>
      <c r="E35" s="72">
        <f t="shared" si="3"/>
        <v>10</v>
      </c>
      <c r="F35" s="73">
        <f t="shared" si="3"/>
        <v>11</v>
      </c>
      <c r="G35" s="72">
        <f t="shared" si="3"/>
        <v>12</v>
      </c>
      <c r="H35" s="73">
        <f t="shared" si="3"/>
        <v>13</v>
      </c>
      <c r="I35" s="72">
        <f t="shared" si="3"/>
        <v>14</v>
      </c>
      <c r="J35" s="73">
        <f t="shared" si="3"/>
        <v>15</v>
      </c>
      <c r="K35" s="72">
        <f t="shared" si="3"/>
        <v>16</v>
      </c>
      <c r="L35" s="73">
        <f t="shared" si="3"/>
        <v>17</v>
      </c>
      <c r="M35" s="107" t="s">
        <v>110</v>
      </c>
      <c r="N35" s="107"/>
      <c r="O35" s="3" t="s">
        <v>147</v>
      </c>
      <c r="P35" s="55"/>
    </row>
    <row r="36" spans="1:27" ht="18.600000000000001" thickBot="1" x14ac:dyDescent="0.35">
      <c r="A36" s="74" t="s">
        <v>181</v>
      </c>
      <c r="B36" s="75" t="s">
        <v>182</v>
      </c>
      <c r="C36" s="76">
        <v>6</v>
      </c>
      <c r="D36" s="77">
        <f t="shared" si="3"/>
        <v>7</v>
      </c>
      <c r="E36" s="76">
        <f t="shared" si="3"/>
        <v>8</v>
      </c>
      <c r="F36" s="77">
        <f t="shared" si="3"/>
        <v>9</v>
      </c>
      <c r="G36" s="76">
        <f t="shared" si="3"/>
        <v>10</v>
      </c>
      <c r="H36" s="77">
        <f t="shared" si="3"/>
        <v>11</v>
      </c>
      <c r="I36" s="76">
        <f t="shared" si="3"/>
        <v>12</v>
      </c>
      <c r="J36" s="77">
        <f t="shared" si="3"/>
        <v>13</v>
      </c>
      <c r="K36" s="76">
        <f t="shared" si="3"/>
        <v>14</v>
      </c>
      <c r="L36" s="77">
        <f t="shared" si="3"/>
        <v>15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36"/>
  <sheetViews>
    <sheetView topLeftCell="A6" zoomScale="120" zoomScaleNormal="120" workbookViewId="0">
      <selection activeCell="N17" sqref="N17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156</v>
      </c>
      <c r="C1" s="82"/>
      <c r="D1" s="83"/>
      <c r="E1" s="99"/>
      <c r="F1" s="84"/>
      <c r="G1" s="101" t="s">
        <v>175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157</v>
      </c>
      <c r="H2" s="93"/>
      <c r="I2" s="100" t="s">
        <v>158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9</v>
      </c>
      <c r="C4" s="1"/>
      <c r="D4" s="48" t="s">
        <v>37</v>
      </c>
      <c r="E4" s="1"/>
      <c r="F4" s="49">
        <v>18</v>
      </c>
      <c r="G4" s="49">
        <v>5</v>
      </c>
      <c r="H4" s="1"/>
      <c r="I4" s="1"/>
      <c r="J4" s="1"/>
      <c r="K4" s="50" t="s">
        <v>119</v>
      </c>
      <c r="L4" s="1"/>
      <c r="M4" s="51">
        <v>0</v>
      </c>
      <c r="N4" s="1"/>
      <c r="O4" s="48" t="s">
        <v>9</v>
      </c>
      <c r="P4" s="98">
        <v>21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8</v>
      </c>
      <c r="B6" s="50" t="s">
        <v>2</v>
      </c>
      <c r="C6" s="109" t="s">
        <v>160</v>
      </c>
      <c r="D6" s="109"/>
      <c r="E6" s="109"/>
      <c r="F6" s="109"/>
      <c r="G6" s="109"/>
      <c r="H6" s="109"/>
      <c r="I6" s="109"/>
      <c r="J6" s="49">
        <v>-1</v>
      </c>
      <c r="K6" s="49"/>
      <c r="M6" s="110" t="s">
        <v>73</v>
      </c>
      <c r="N6" s="110"/>
      <c r="O6" s="110"/>
      <c r="P6" s="54">
        <v>13</v>
      </c>
    </row>
    <row r="7" spans="1:16" ht="32.4" customHeight="1" x14ac:dyDescent="0.3">
      <c r="A7" s="80">
        <v>10</v>
      </c>
      <c r="B7" s="50" t="s">
        <v>3</v>
      </c>
      <c r="C7" s="109" t="s">
        <v>113</v>
      </c>
      <c r="D7" s="109"/>
      <c r="E7" s="109"/>
      <c r="F7" s="109"/>
      <c r="G7" s="109"/>
      <c r="H7" s="109"/>
      <c r="I7" s="109"/>
      <c r="J7" s="49">
        <v>0</v>
      </c>
      <c r="K7" s="49"/>
      <c r="M7" s="110" t="s">
        <v>11</v>
      </c>
      <c r="N7" s="110"/>
      <c r="O7" s="110"/>
      <c r="P7" s="54">
        <v>14</v>
      </c>
    </row>
    <row r="8" spans="1:16" ht="32.4" customHeight="1" x14ac:dyDescent="0.3">
      <c r="A8" s="80">
        <v>13</v>
      </c>
      <c r="B8" s="50" t="s">
        <v>4</v>
      </c>
      <c r="C8" s="109" t="s">
        <v>161</v>
      </c>
      <c r="D8" s="109"/>
      <c r="E8" s="109"/>
      <c r="F8" s="109"/>
      <c r="G8" s="109"/>
      <c r="H8" s="109"/>
      <c r="I8" s="109"/>
      <c r="J8" s="49">
        <v>1</v>
      </c>
      <c r="K8" s="49"/>
      <c r="M8" s="110" t="s">
        <v>14</v>
      </c>
      <c r="N8" s="110"/>
      <c r="O8" s="110"/>
      <c r="P8" s="54">
        <v>13</v>
      </c>
    </row>
    <row r="9" spans="1:16" ht="32.4" customHeight="1" x14ac:dyDescent="0.3">
      <c r="A9" s="80">
        <v>16</v>
      </c>
      <c r="B9" s="50" t="s">
        <v>5</v>
      </c>
      <c r="C9" s="109" t="s">
        <v>162</v>
      </c>
      <c r="D9" s="109"/>
      <c r="E9" s="109"/>
      <c r="F9" s="109"/>
      <c r="G9" s="109"/>
      <c r="H9" s="109"/>
      <c r="I9" s="109"/>
      <c r="J9" s="49">
        <v>2</v>
      </c>
      <c r="K9" s="49"/>
      <c r="M9" s="110" t="s">
        <v>12</v>
      </c>
      <c r="N9" s="110"/>
      <c r="O9" s="110"/>
      <c r="P9" s="54">
        <v>16</v>
      </c>
    </row>
    <row r="10" spans="1:16" ht="32.4" customHeight="1" x14ac:dyDescent="0.3">
      <c r="A10" s="80">
        <v>9</v>
      </c>
      <c r="B10" s="50" t="s">
        <v>6</v>
      </c>
      <c r="C10" s="109" t="s">
        <v>113</v>
      </c>
      <c r="D10" s="109"/>
      <c r="E10" s="109"/>
      <c r="F10" s="109"/>
      <c r="G10" s="109"/>
      <c r="H10" s="109"/>
      <c r="I10" s="109"/>
      <c r="J10" s="49">
        <v>0</v>
      </c>
      <c r="K10" s="49"/>
      <c r="M10" s="110" t="s">
        <v>13</v>
      </c>
      <c r="N10" s="110"/>
      <c r="O10" s="110"/>
      <c r="P10" s="54">
        <v>15</v>
      </c>
    </row>
    <row r="11" spans="1:16" ht="32.4" customHeight="1" x14ac:dyDescent="0.3">
      <c r="A11" s="80">
        <v>8</v>
      </c>
      <c r="B11" s="50" t="s">
        <v>7</v>
      </c>
      <c r="C11" s="109" t="s">
        <v>163</v>
      </c>
      <c r="D11" s="109"/>
      <c r="E11" s="109"/>
      <c r="F11" s="109"/>
      <c r="G11" s="109"/>
      <c r="H11" s="109"/>
      <c r="I11" s="109"/>
      <c r="J11" s="49">
        <v>-1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159</v>
      </c>
      <c r="B14" s="112"/>
      <c r="E14" s="41" t="s">
        <v>21</v>
      </c>
      <c r="F14" s="41"/>
      <c r="H14" s="60" t="s">
        <v>96</v>
      </c>
      <c r="I14" s="61">
        <v>40</v>
      </c>
      <c r="J14" s="1">
        <f>K14*1.5</f>
        <v>12</v>
      </c>
      <c r="K14" s="1">
        <f>I14/5</f>
        <v>8</v>
      </c>
      <c r="N14" s="3" t="s">
        <v>166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f>I14*3</f>
        <v>120</v>
      </c>
      <c r="J15" s="65">
        <f>K15*1.5</f>
        <v>36</v>
      </c>
      <c r="K15" s="65">
        <f t="shared" ref="K15:K18" si="0">I15/5</f>
        <v>24</v>
      </c>
      <c r="N15" s="3" t="s">
        <v>167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f>I14*3</f>
        <v>120</v>
      </c>
      <c r="J16" s="1">
        <f>K16*1.5</f>
        <v>36</v>
      </c>
      <c r="K16" s="1">
        <f t="shared" si="0"/>
        <v>24</v>
      </c>
      <c r="N16" s="3" t="s">
        <v>83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f>I14/2</f>
        <v>20</v>
      </c>
      <c r="J17" s="65">
        <f>K17*1.5</f>
        <v>6</v>
      </c>
      <c r="K17" s="65">
        <f t="shared" si="0"/>
        <v>4</v>
      </c>
      <c r="N17" s="3" t="s">
        <v>168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f>I14/2</f>
        <v>20</v>
      </c>
      <c r="J18" s="1">
        <f>K18*1.5</f>
        <v>6</v>
      </c>
      <c r="K18" s="1">
        <f t="shared" si="0"/>
        <v>4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165</v>
      </c>
      <c r="J19" s="66" t="s">
        <v>164</v>
      </c>
      <c r="K19" s="66"/>
      <c r="P19" s="45"/>
    </row>
    <row r="20" spans="1:16" s="3" customFormat="1" ht="15.6" customHeight="1" x14ac:dyDescent="0.3">
      <c r="A20" s="44" t="s">
        <v>44</v>
      </c>
      <c r="B20" s="67">
        <v>0</v>
      </c>
      <c r="N20" s="103"/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4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A26" s="56"/>
      <c r="P26" s="55"/>
    </row>
    <row r="27" spans="1:16" ht="15.6" customHeight="1" x14ac:dyDescent="0.3">
      <c r="A27" s="57" t="s">
        <v>43</v>
      </c>
      <c r="B27" s="4"/>
      <c r="C27" s="43" t="s">
        <v>126</v>
      </c>
      <c r="D27" s="6"/>
      <c r="E27" s="43" t="s">
        <v>127</v>
      </c>
      <c r="F27" s="6"/>
      <c r="G27" s="43" t="s">
        <v>128</v>
      </c>
      <c r="H27" s="6"/>
      <c r="I27" s="43"/>
      <c r="J27" s="6"/>
      <c r="K27" s="6"/>
      <c r="N27" s="4" t="s">
        <v>29</v>
      </c>
      <c r="O27" s="6"/>
      <c r="P27" s="53"/>
    </row>
    <row r="28" spans="1:16" ht="15.6" customHeight="1" x14ac:dyDescent="0.3">
      <c r="A28" s="97" t="s">
        <v>30</v>
      </c>
      <c r="B28" s="2" t="s">
        <v>173</v>
      </c>
      <c r="N28" s="2" t="s">
        <v>77</v>
      </c>
      <c r="P28" s="55"/>
    </row>
    <row r="29" spans="1:16" ht="15.6" customHeight="1" x14ac:dyDescent="0.3">
      <c r="A29" s="97" t="s">
        <v>31</v>
      </c>
      <c r="B29" s="2" t="s">
        <v>174</v>
      </c>
      <c r="N29" s="2" t="s">
        <v>32</v>
      </c>
      <c r="P29" s="55"/>
    </row>
    <row r="30" spans="1:16" x14ac:dyDescent="0.3">
      <c r="A30" s="97" t="s">
        <v>39</v>
      </c>
      <c r="B30" s="2" t="s">
        <v>172</v>
      </c>
      <c r="N30" s="2" t="s">
        <v>78</v>
      </c>
      <c r="P30" s="55"/>
    </row>
    <row r="31" spans="1:16" ht="15.6" customHeight="1" x14ac:dyDescent="0.3">
      <c r="A31" s="119"/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169</v>
      </c>
      <c r="B34" s="1" t="s">
        <v>23</v>
      </c>
      <c r="C34" s="72">
        <v>11</v>
      </c>
      <c r="D34" s="73">
        <f>C34+1</f>
        <v>12</v>
      </c>
      <c r="E34" s="72">
        <f t="shared" ref="E34:L34" si="2">D34+1</f>
        <v>13</v>
      </c>
      <c r="F34" s="73">
        <f t="shared" si="2"/>
        <v>14</v>
      </c>
      <c r="G34" s="72">
        <f t="shared" si="2"/>
        <v>15</v>
      </c>
      <c r="H34" s="73">
        <f t="shared" si="2"/>
        <v>16</v>
      </c>
      <c r="I34" s="72">
        <f t="shared" si="2"/>
        <v>17</v>
      </c>
      <c r="J34" s="73">
        <f t="shared" si="2"/>
        <v>18</v>
      </c>
      <c r="K34" s="72">
        <f t="shared" si="2"/>
        <v>19</v>
      </c>
      <c r="L34" s="73">
        <f t="shared" si="2"/>
        <v>20</v>
      </c>
      <c r="M34" s="106" t="s">
        <v>170</v>
      </c>
      <c r="N34" s="106"/>
      <c r="P34" s="55"/>
    </row>
    <row r="35" spans="1:27" ht="18" x14ac:dyDescent="0.3">
      <c r="A35" s="71" t="s">
        <v>24</v>
      </c>
      <c r="B35" s="1" t="s">
        <v>23</v>
      </c>
      <c r="C35" s="72">
        <v>11</v>
      </c>
      <c r="D35" s="73">
        <f t="shared" ref="D35:L36" si="3">C35+1</f>
        <v>12</v>
      </c>
      <c r="E35" s="72">
        <f t="shared" si="3"/>
        <v>13</v>
      </c>
      <c r="F35" s="73">
        <f t="shared" si="3"/>
        <v>14</v>
      </c>
      <c r="G35" s="72">
        <f t="shared" si="3"/>
        <v>15</v>
      </c>
      <c r="H35" s="73">
        <f t="shared" si="3"/>
        <v>16</v>
      </c>
      <c r="I35" s="72">
        <f t="shared" si="3"/>
        <v>17</v>
      </c>
      <c r="J35" s="73">
        <f t="shared" si="3"/>
        <v>18</v>
      </c>
      <c r="K35" s="72">
        <f t="shared" si="3"/>
        <v>19</v>
      </c>
      <c r="L35" s="73">
        <f t="shared" si="3"/>
        <v>20</v>
      </c>
      <c r="M35" s="107" t="s">
        <v>170</v>
      </c>
      <c r="N35" s="107"/>
      <c r="O35" s="3"/>
      <c r="P35" s="55"/>
    </row>
    <row r="36" spans="1:27" ht="18.600000000000001" thickBot="1" x14ac:dyDescent="0.35">
      <c r="A36" s="74" t="s">
        <v>24</v>
      </c>
      <c r="B36" s="75" t="s">
        <v>171</v>
      </c>
      <c r="C36" s="76">
        <v>10</v>
      </c>
      <c r="D36" s="77">
        <f t="shared" si="3"/>
        <v>11</v>
      </c>
      <c r="E36" s="76">
        <f t="shared" si="3"/>
        <v>12</v>
      </c>
      <c r="F36" s="77">
        <f t="shared" si="3"/>
        <v>13</v>
      </c>
      <c r="G36" s="76">
        <f t="shared" si="3"/>
        <v>14</v>
      </c>
      <c r="H36" s="77">
        <f t="shared" si="3"/>
        <v>15</v>
      </c>
      <c r="I36" s="76">
        <f t="shared" si="3"/>
        <v>16</v>
      </c>
      <c r="J36" s="77">
        <f t="shared" si="3"/>
        <v>17</v>
      </c>
      <c r="K36" s="76">
        <f t="shared" si="3"/>
        <v>18</v>
      </c>
      <c r="L36" s="77">
        <f t="shared" si="3"/>
        <v>19</v>
      </c>
      <c r="M36" s="108" t="s">
        <v>110</v>
      </c>
      <c r="N36" s="108"/>
      <c r="O36" s="78"/>
      <c r="P36" s="79"/>
      <c r="AA36"/>
    </row>
  </sheetData>
  <mergeCells count="17">
    <mergeCell ref="N20:P20"/>
    <mergeCell ref="M33:N33"/>
    <mergeCell ref="M34:N34"/>
    <mergeCell ref="M35:N35"/>
    <mergeCell ref="M36:N36"/>
    <mergeCell ref="C9:I9"/>
    <mergeCell ref="M9:O9"/>
    <mergeCell ref="C10:I10"/>
    <mergeCell ref="M10:O10"/>
    <mergeCell ref="C11:I11"/>
    <mergeCell ref="A14:B17"/>
    <mergeCell ref="C6:I6"/>
    <mergeCell ref="M6:O6"/>
    <mergeCell ref="C7:I7"/>
    <mergeCell ref="M7:O7"/>
    <mergeCell ref="C8:I8"/>
    <mergeCell ref="M8:O8"/>
  </mergeCells>
  <pageMargins left="0.25" right="0.25" top="0.75" bottom="0.75" header="0.3" footer="0.3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36"/>
  <sheetViews>
    <sheetView zoomScale="110" zoomScaleNormal="110" workbookViewId="0">
      <selection activeCell="F39" sqref="F39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133</v>
      </c>
      <c r="C1" s="82"/>
      <c r="D1" s="83"/>
      <c r="E1" s="99"/>
      <c r="F1" s="84"/>
      <c r="G1" s="101" t="s">
        <v>150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134</v>
      </c>
      <c r="H2" s="93"/>
      <c r="I2" s="100" t="s">
        <v>158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0</v>
      </c>
      <c r="C4" s="1"/>
      <c r="D4" s="48" t="s">
        <v>37</v>
      </c>
      <c r="E4" s="1"/>
      <c r="F4" s="49">
        <v>24</v>
      </c>
      <c r="G4" s="102" t="s">
        <v>139</v>
      </c>
      <c r="H4" s="1"/>
      <c r="I4" s="1"/>
      <c r="J4" s="1"/>
      <c r="K4" s="50" t="s">
        <v>119</v>
      </c>
      <c r="L4" s="1"/>
      <c r="M4" s="51">
        <v>1</v>
      </c>
      <c r="N4" s="1"/>
      <c r="O4" s="48" t="s">
        <v>9</v>
      </c>
      <c r="P4" s="98">
        <v>35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17</v>
      </c>
      <c r="B6" s="50" t="s">
        <v>2</v>
      </c>
      <c r="C6" s="109" t="s">
        <v>144</v>
      </c>
      <c r="D6" s="109"/>
      <c r="E6" s="109"/>
      <c r="F6" s="109"/>
      <c r="G6" s="109"/>
      <c r="H6" s="109"/>
      <c r="I6" s="109"/>
      <c r="J6" s="49">
        <v>2</v>
      </c>
      <c r="K6" s="49"/>
      <c r="M6" s="110" t="s">
        <v>73</v>
      </c>
      <c r="N6" s="110"/>
      <c r="O6" s="110"/>
      <c r="P6" s="54">
        <v>10</v>
      </c>
    </row>
    <row r="7" spans="1:16" ht="32.4" customHeight="1" x14ac:dyDescent="0.3">
      <c r="A7" s="80">
        <v>14</v>
      </c>
      <c r="B7" s="50" t="s">
        <v>3</v>
      </c>
      <c r="C7" s="109" t="s">
        <v>145</v>
      </c>
      <c r="D7" s="109"/>
      <c r="E7" s="109"/>
      <c r="F7" s="109"/>
      <c r="G7" s="109"/>
      <c r="H7" s="109"/>
      <c r="I7" s="109"/>
      <c r="J7" s="49">
        <v>1</v>
      </c>
      <c r="K7" s="49"/>
      <c r="M7" s="110" t="s">
        <v>11</v>
      </c>
      <c r="N7" s="110"/>
      <c r="O7" s="110"/>
      <c r="P7" s="54">
        <v>13</v>
      </c>
    </row>
    <row r="8" spans="1:16" ht="32.4" customHeight="1" x14ac:dyDescent="0.3">
      <c r="A8" s="80">
        <v>11</v>
      </c>
      <c r="B8" s="50" t="s">
        <v>4</v>
      </c>
      <c r="C8" s="109" t="s">
        <v>113</v>
      </c>
      <c r="D8" s="109"/>
      <c r="E8" s="109"/>
      <c r="F8" s="109"/>
      <c r="G8" s="109"/>
      <c r="H8" s="109"/>
      <c r="I8" s="109"/>
      <c r="J8" s="49">
        <v>0</v>
      </c>
      <c r="K8" s="49"/>
      <c r="M8" s="110" t="s">
        <v>14</v>
      </c>
      <c r="N8" s="110"/>
      <c r="O8" s="110"/>
      <c r="P8" s="54">
        <v>12</v>
      </c>
    </row>
    <row r="9" spans="1:16" ht="32.4" customHeight="1" x14ac:dyDescent="0.3">
      <c r="A9" s="80">
        <v>7</v>
      </c>
      <c r="B9" s="50" t="s">
        <v>5</v>
      </c>
      <c r="C9" s="109" t="s">
        <v>114</v>
      </c>
      <c r="D9" s="109"/>
      <c r="E9" s="109"/>
      <c r="F9" s="109"/>
      <c r="G9" s="109"/>
      <c r="H9" s="109"/>
      <c r="I9" s="109"/>
      <c r="J9" s="49">
        <v>-1</v>
      </c>
      <c r="K9" s="49"/>
      <c r="M9" s="110" t="s">
        <v>12</v>
      </c>
      <c r="N9" s="110"/>
      <c r="O9" s="110"/>
      <c r="P9" s="54">
        <v>13</v>
      </c>
    </row>
    <row r="10" spans="1:16" ht="32.4" customHeight="1" x14ac:dyDescent="0.3">
      <c r="A10" s="80">
        <v>4</v>
      </c>
      <c r="B10" s="50" t="s">
        <v>6</v>
      </c>
      <c r="C10" s="109" t="s">
        <v>146</v>
      </c>
      <c r="D10" s="109"/>
      <c r="E10" s="109"/>
      <c r="F10" s="109"/>
      <c r="G10" s="109"/>
      <c r="H10" s="109"/>
      <c r="I10" s="109"/>
      <c r="J10" s="49">
        <v>-2</v>
      </c>
      <c r="K10" s="49"/>
      <c r="M10" s="110" t="s">
        <v>13</v>
      </c>
      <c r="N10" s="110"/>
      <c r="O10" s="110"/>
      <c r="P10" s="54">
        <v>16</v>
      </c>
    </row>
    <row r="11" spans="1:16" ht="32.4" customHeight="1" x14ac:dyDescent="0.3">
      <c r="A11" s="80">
        <v>10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74</v>
      </c>
      <c r="B14" s="112"/>
      <c r="E14" s="41" t="s">
        <v>21</v>
      </c>
      <c r="F14" s="41"/>
      <c r="H14" s="60" t="s">
        <v>96</v>
      </c>
      <c r="I14" s="61">
        <v>20</v>
      </c>
      <c r="J14" s="1">
        <f>K14*1.5</f>
        <v>6</v>
      </c>
      <c r="K14" s="1">
        <f>I14/5</f>
        <v>4</v>
      </c>
      <c r="N14" s="3" t="s">
        <v>80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v>60</v>
      </c>
      <c r="J15" s="65">
        <f>K15*1.5</f>
        <v>18</v>
      </c>
      <c r="K15" s="65">
        <f t="shared" ref="K15:K18" si="0">I15/5</f>
        <v>12</v>
      </c>
      <c r="N15" s="3" t="s">
        <v>141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v>60</v>
      </c>
      <c r="J16" s="1">
        <f>K16*1.5</f>
        <v>18</v>
      </c>
      <c r="K16" s="1">
        <f t="shared" si="0"/>
        <v>12</v>
      </c>
      <c r="N16" s="3" t="s">
        <v>142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v>10</v>
      </c>
      <c r="J17" s="65">
        <f>K17*1.5</f>
        <v>3</v>
      </c>
      <c r="K17" s="65">
        <f t="shared" si="0"/>
        <v>2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v>10</v>
      </c>
      <c r="J18" s="1">
        <f>K18*1.5</f>
        <v>3</v>
      </c>
      <c r="K18" s="1">
        <f t="shared" si="0"/>
        <v>2</v>
      </c>
      <c r="N18" s="3" t="s">
        <v>143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95</v>
      </c>
      <c r="J19" s="66" t="s">
        <v>94</v>
      </c>
      <c r="K19" s="66"/>
      <c r="N19" s="3" t="s">
        <v>85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149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12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E26" s="2" t="s">
        <v>155</v>
      </c>
      <c r="P26" s="55"/>
    </row>
    <row r="27" spans="1:16" ht="15.6" customHeight="1" x14ac:dyDescent="0.3">
      <c r="A27" s="115" t="s">
        <v>154</v>
      </c>
      <c r="B27" s="114"/>
      <c r="C27" s="114" t="s">
        <v>8</v>
      </c>
      <c r="E27" s="61"/>
      <c r="G27" s="61"/>
      <c r="I27" s="61"/>
      <c r="N27" s="4" t="s">
        <v>29</v>
      </c>
      <c r="O27" s="6"/>
      <c r="P27" s="53"/>
    </row>
    <row r="28" spans="1:16" ht="15.6" customHeight="1" x14ac:dyDescent="0.3">
      <c r="A28" s="116" t="s">
        <v>153</v>
      </c>
      <c r="B28" s="117"/>
      <c r="C28" s="113">
        <v>0</v>
      </c>
      <c r="N28" s="2" t="s">
        <v>77</v>
      </c>
      <c r="P28" s="55"/>
    </row>
    <row r="29" spans="1:16" ht="15.6" customHeight="1" x14ac:dyDescent="0.3">
      <c r="A29" s="116" t="s">
        <v>151</v>
      </c>
      <c r="B29" s="117"/>
      <c r="C29" s="117">
        <v>2</v>
      </c>
      <c r="N29" s="2" t="s">
        <v>32</v>
      </c>
      <c r="P29" s="55"/>
    </row>
    <row r="30" spans="1:16" x14ac:dyDescent="0.3">
      <c r="A30" s="118" t="s">
        <v>152</v>
      </c>
      <c r="B30" s="117"/>
      <c r="C30" s="117">
        <v>2</v>
      </c>
      <c r="N30" s="2" t="s">
        <v>78</v>
      </c>
      <c r="P30" s="55"/>
    </row>
    <row r="31" spans="1:16" ht="15.6" customHeight="1" x14ac:dyDescent="0.3">
      <c r="A31" s="118" t="s">
        <v>24</v>
      </c>
      <c r="B31" s="117"/>
      <c r="C31" s="117">
        <v>2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135</v>
      </c>
      <c r="B34" s="1" t="s">
        <v>23</v>
      </c>
      <c r="C34" s="72">
        <v>5</v>
      </c>
      <c r="D34" s="73">
        <f>C34+1</f>
        <v>6</v>
      </c>
      <c r="E34" s="72">
        <f t="shared" ref="E34:L34" si="2">D34+1</f>
        <v>7</v>
      </c>
      <c r="F34" s="73">
        <f t="shared" si="2"/>
        <v>8</v>
      </c>
      <c r="G34" s="72">
        <f t="shared" si="2"/>
        <v>9</v>
      </c>
      <c r="H34" s="73">
        <f t="shared" si="2"/>
        <v>10</v>
      </c>
      <c r="I34" s="72">
        <f t="shared" si="2"/>
        <v>11</v>
      </c>
      <c r="J34" s="73">
        <f t="shared" si="2"/>
        <v>12</v>
      </c>
      <c r="K34" s="72">
        <f t="shared" si="2"/>
        <v>13</v>
      </c>
      <c r="L34" s="73">
        <f t="shared" si="2"/>
        <v>14</v>
      </c>
      <c r="M34" s="106" t="s">
        <v>136</v>
      </c>
      <c r="N34" s="106"/>
      <c r="O34" s="2" t="s">
        <v>140</v>
      </c>
      <c r="P34" s="55"/>
    </row>
    <row r="35" spans="1:27" ht="18" x14ac:dyDescent="0.3">
      <c r="A35" s="71" t="s">
        <v>24</v>
      </c>
      <c r="B35" s="1" t="s">
        <v>23</v>
      </c>
      <c r="C35" s="72">
        <v>6</v>
      </c>
      <c r="D35" s="73">
        <f t="shared" ref="D35:L36" si="3">C35+1</f>
        <v>7</v>
      </c>
      <c r="E35" s="72">
        <f t="shared" si="3"/>
        <v>8</v>
      </c>
      <c r="F35" s="73">
        <f t="shared" si="3"/>
        <v>9</v>
      </c>
      <c r="G35" s="72">
        <f t="shared" si="3"/>
        <v>10</v>
      </c>
      <c r="H35" s="73">
        <f t="shared" si="3"/>
        <v>11</v>
      </c>
      <c r="I35" s="72">
        <f t="shared" si="3"/>
        <v>12</v>
      </c>
      <c r="J35" s="73">
        <f t="shared" si="3"/>
        <v>13</v>
      </c>
      <c r="K35" s="72">
        <f t="shared" si="3"/>
        <v>14</v>
      </c>
      <c r="L35" s="73">
        <f t="shared" si="3"/>
        <v>15</v>
      </c>
      <c r="M35" s="107" t="s">
        <v>137</v>
      </c>
      <c r="N35" s="107"/>
      <c r="O35" s="3" t="s">
        <v>147</v>
      </c>
      <c r="P35" s="55"/>
    </row>
    <row r="36" spans="1:27" ht="18.600000000000001" thickBot="1" x14ac:dyDescent="0.35">
      <c r="A36" s="74" t="s">
        <v>25</v>
      </c>
      <c r="B36" s="75" t="s">
        <v>138</v>
      </c>
      <c r="C36" s="76">
        <v>7</v>
      </c>
      <c r="D36" s="77">
        <f t="shared" si="3"/>
        <v>8</v>
      </c>
      <c r="E36" s="76">
        <f t="shared" si="3"/>
        <v>9</v>
      </c>
      <c r="F36" s="77">
        <f t="shared" si="3"/>
        <v>10</v>
      </c>
      <c r="G36" s="76">
        <f t="shared" si="3"/>
        <v>11</v>
      </c>
      <c r="H36" s="77">
        <f t="shared" si="3"/>
        <v>12</v>
      </c>
      <c r="I36" s="76">
        <f t="shared" si="3"/>
        <v>13</v>
      </c>
      <c r="J36" s="77">
        <f t="shared" si="3"/>
        <v>14</v>
      </c>
      <c r="K36" s="76">
        <f t="shared" si="3"/>
        <v>15</v>
      </c>
      <c r="L36" s="77">
        <f t="shared" si="3"/>
        <v>16</v>
      </c>
      <c r="M36" s="108" t="s">
        <v>28</v>
      </c>
      <c r="N36" s="108"/>
      <c r="O36" s="78" t="s">
        <v>148</v>
      </c>
      <c r="P36" s="79"/>
      <c r="AA36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3:N33"/>
    <mergeCell ref="M34:N34"/>
    <mergeCell ref="M35:N35"/>
    <mergeCell ref="M36:N36"/>
  </mergeCells>
  <pageMargins left="0.25" right="0.25" top="0.75" bottom="0.75" header="0.3" footer="0.3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36"/>
  <sheetViews>
    <sheetView zoomScale="120" zoomScaleNormal="120" workbookViewId="0">
      <selection activeCell="I14" sqref="I14"/>
    </sheetView>
  </sheetViews>
  <sheetFormatPr defaultRowHeight="14.4" x14ac:dyDescent="0.3"/>
  <cols>
    <col min="1" max="1" width="10.77734375" style="2" customWidth="1"/>
    <col min="2" max="2" width="10.5546875" style="2" customWidth="1"/>
    <col min="3" max="12" width="4.77734375" style="2" customWidth="1"/>
    <col min="13" max="14" width="4.6640625" style="2" customWidth="1"/>
    <col min="15" max="15" width="8.88671875" style="2" customWidth="1"/>
    <col min="16" max="16384" width="8.88671875" style="2"/>
  </cols>
  <sheetData>
    <row r="1" spans="1:16" ht="20.399999999999999" customHeight="1" x14ac:dyDescent="0.3">
      <c r="A1" s="81" t="s">
        <v>0</v>
      </c>
      <c r="B1" s="82" t="s">
        <v>71</v>
      </c>
      <c r="C1" s="82"/>
      <c r="D1" s="83"/>
      <c r="E1" s="99"/>
      <c r="F1" s="84"/>
      <c r="G1" s="101" t="s">
        <v>132</v>
      </c>
      <c r="H1" s="82"/>
      <c r="I1" s="84"/>
      <c r="J1" s="85"/>
      <c r="K1" s="86" t="s">
        <v>34</v>
      </c>
      <c r="L1" s="83"/>
      <c r="M1" s="83"/>
      <c r="N1" s="87" t="s">
        <v>121</v>
      </c>
      <c r="O1" s="82"/>
      <c r="P1" s="88"/>
    </row>
    <row r="2" spans="1:16" ht="20.399999999999999" customHeight="1" x14ac:dyDescent="0.3">
      <c r="A2" s="89" t="s">
        <v>120</v>
      </c>
      <c r="B2" s="90" t="s">
        <v>100</v>
      </c>
      <c r="C2" s="90"/>
      <c r="D2" s="91"/>
      <c r="E2" s="92" t="s">
        <v>33</v>
      </c>
      <c r="F2" s="93"/>
      <c r="G2" s="93" t="s">
        <v>130</v>
      </c>
      <c r="H2" s="93"/>
      <c r="I2" s="100" t="s">
        <v>131</v>
      </c>
      <c r="J2" s="91"/>
      <c r="K2" s="94" t="s">
        <v>1</v>
      </c>
      <c r="L2" s="95"/>
      <c r="M2" s="95"/>
      <c r="N2" s="90" t="s">
        <v>72</v>
      </c>
      <c r="O2" s="90"/>
      <c r="P2" s="96"/>
    </row>
    <row r="3" spans="1:16" ht="9.6" customHeight="1" x14ac:dyDescent="0.3">
      <c r="A3" s="44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5"/>
    </row>
    <row r="4" spans="1:16" ht="18.600000000000001" customHeight="1" x14ac:dyDescent="0.3">
      <c r="A4" s="46" t="s">
        <v>8</v>
      </c>
      <c r="B4" s="47">
        <v>2</v>
      </c>
      <c r="C4" s="1"/>
      <c r="D4" s="48" t="s">
        <v>37</v>
      </c>
      <c r="E4" s="1"/>
      <c r="F4" s="49">
        <v>20</v>
      </c>
      <c r="G4" s="49" t="s">
        <v>88</v>
      </c>
      <c r="H4" s="1"/>
      <c r="I4" s="1"/>
      <c r="J4" s="1"/>
      <c r="K4" s="50" t="s">
        <v>119</v>
      </c>
      <c r="L4" s="1"/>
      <c r="M4" s="51">
        <v>-1</v>
      </c>
      <c r="N4" s="1"/>
      <c r="O4" s="48" t="s">
        <v>9</v>
      </c>
      <c r="P4" s="98">
        <v>31</v>
      </c>
    </row>
    <row r="5" spans="1:16" ht="19.8" customHeight="1" x14ac:dyDescent="0.3">
      <c r="A5" s="52" t="s">
        <v>29</v>
      </c>
      <c r="B5" s="7"/>
      <c r="J5" s="2" t="s">
        <v>118</v>
      </c>
      <c r="M5" s="7" t="s">
        <v>10</v>
      </c>
      <c r="N5" s="6"/>
      <c r="O5" s="6"/>
      <c r="P5" s="53"/>
    </row>
    <row r="6" spans="1:16" ht="32.4" customHeight="1" x14ac:dyDescent="0.3">
      <c r="A6" s="80">
        <v>12</v>
      </c>
      <c r="B6" s="50" t="s">
        <v>2</v>
      </c>
      <c r="C6" s="109" t="s">
        <v>111</v>
      </c>
      <c r="D6" s="109"/>
      <c r="E6" s="109"/>
      <c r="F6" s="109"/>
      <c r="G6" s="109"/>
      <c r="H6" s="109"/>
      <c r="I6" s="109"/>
      <c r="J6" s="49">
        <v>0</v>
      </c>
      <c r="K6" s="49"/>
      <c r="M6" s="110" t="s">
        <v>73</v>
      </c>
      <c r="N6" s="110"/>
      <c r="O6" s="110"/>
      <c r="P6" s="54">
        <v>9</v>
      </c>
    </row>
    <row r="7" spans="1:16" ht="32.4" customHeight="1" x14ac:dyDescent="0.3">
      <c r="A7" s="80">
        <v>6</v>
      </c>
      <c r="B7" s="50" t="s">
        <v>3</v>
      </c>
      <c r="C7" s="109" t="s">
        <v>112</v>
      </c>
      <c r="D7" s="109"/>
      <c r="E7" s="109"/>
      <c r="F7" s="109"/>
      <c r="G7" s="109"/>
      <c r="H7" s="109"/>
      <c r="I7" s="109"/>
      <c r="J7" s="49">
        <v>-1</v>
      </c>
      <c r="K7" s="49"/>
      <c r="M7" s="110" t="s">
        <v>11</v>
      </c>
      <c r="N7" s="110"/>
      <c r="O7" s="110"/>
      <c r="P7" s="54">
        <v>9</v>
      </c>
    </row>
    <row r="8" spans="1:16" ht="32.4" customHeight="1" x14ac:dyDescent="0.3">
      <c r="A8" s="80">
        <v>12</v>
      </c>
      <c r="B8" s="50" t="s">
        <v>4</v>
      </c>
      <c r="C8" s="109" t="s">
        <v>113</v>
      </c>
      <c r="D8" s="109"/>
      <c r="E8" s="109"/>
      <c r="F8" s="109"/>
      <c r="G8" s="109"/>
      <c r="H8" s="109"/>
      <c r="I8" s="109"/>
      <c r="J8" s="49">
        <v>0</v>
      </c>
      <c r="K8" s="49"/>
      <c r="M8" s="110" t="s">
        <v>14</v>
      </c>
      <c r="N8" s="110"/>
      <c r="O8" s="110"/>
      <c r="P8" s="54">
        <v>11</v>
      </c>
    </row>
    <row r="9" spans="1:16" ht="32.4" customHeight="1" x14ac:dyDescent="0.3">
      <c r="A9" s="80">
        <v>7</v>
      </c>
      <c r="B9" s="50" t="s">
        <v>5</v>
      </c>
      <c r="C9" s="109" t="s">
        <v>114</v>
      </c>
      <c r="D9" s="109"/>
      <c r="E9" s="109"/>
      <c r="F9" s="109"/>
      <c r="G9" s="109"/>
      <c r="H9" s="109"/>
      <c r="I9" s="109"/>
      <c r="J9" s="49">
        <v>-1</v>
      </c>
      <c r="K9" s="49"/>
      <c r="M9" s="110" t="s">
        <v>12</v>
      </c>
      <c r="N9" s="110"/>
      <c r="O9" s="110"/>
      <c r="P9" s="54">
        <v>14</v>
      </c>
    </row>
    <row r="10" spans="1:16" ht="32.4" customHeight="1" x14ac:dyDescent="0.3">
      <c r="A10" s="80">
        <v>13</v>
      </c>
      <c r="B10" s="50" t="s">
        <v>6</v>
      </c>
      <c r="C10" s="109" t="s">
        <v>115</v>
      </c>
      <c r="D10" s="109"/>
      <c r="E10" s="109"/>
      <c r="F10" s="109"/>
      <c r="G10" s="109"/>
      <c r="H10" s="109"/>
      <c r="I10" s="109"/>
      <c r="J10" s="49">
        <v>1</v>
      </c>
      <c r="K10" s="49"/>
      <c r="M10" s="110" t="s">
        <v>13</v>
      </c>
      <c r="N10" s="110"/>
      <c r="O10" s="110"/>
      <c r="P10" s="54">
        <v>11</v>
      </c>
    </row>
    <row r="11" spans="1:16" ht="32.4" customHeight="1" x14ac:dyDescent="0.3">
      <c r="A11" s="80">
        <v>9</v>
      </c>
      <c r="B11" s="50" t="s">
        <v>7</v>
      </c>
      <c r="C11" s="109" t="s">
        <v>116</v>
      </c>
      <c r="D11" s="109"/>
      <c r="E11" s="109"/>
      <c r="F11" s="109"/>
      <c r="G11" s="109"/>
      <c r="H11" s="109"/>
      <c r="I11" s="109"/>
      <c r="J11" s="49">
        <v>0</v>
      </c>
      <c r="K11" s="49"/>
      <c r="P11" s="55"/>
    </row>
    <row r="12" spans="1:16" ht="17.39999999999999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4"/>
      <c r="C13" s="41"/>
      <c r="E13" s="4" t="s">
        <v>17</v>
      </c>
      <c r="F13" s="4"/>
      <c r="G13" s="4"/>
      <c r="H13" s="41"/>
      <c r="I13" s="58" t="s">
        <v>91</v>
      </c>
      <c r="J13" s="58" t="s">
        <v>92</v>
      </c>
      <c r="K13" s="58" t="s">
        <v>93</v>
      </c>
      <c r="N13" s="4" t="s">
        <v>79</v>
      </c>
      <c r="O13" s="5"/>
      <c r="P13" s="59"/>
    </row>
    <row r="14" spans="1:16" s="3" customFormat="1" ht="15.6" customHeight="1" x14ac:dyDescent="0.3">
      <c r="A14" s="111" t="s">
        <v>74</v>
      </c>
      <c r="B14" s="112"/>
      <c r="E14" s="41" t="s">
        <v>21</v>
      </c>
      <c r="F14" s="41"/>
      <c r="H14" s="60" t="s">
        <v>96</v>
      </c>
      <c r="I14" s="61">
        <v>20</v>
      </c>
      <c r="J14" s="1">
        <f>K14*1.5</f>
        <v>6</v>
      </c>
      <c r="K14" s="1">
        <f>I14/5</f>
        <v>4</v>
      </c>
      <c r="N14" s="3" t="s">
        <v>80</v>
      </c>
      <c r="P14" s="45"/>
    </row>
    <row r="15" spans="1:16" s="3" customFormat="1" ht="15.6" customHeight="1" x14ac:dyDescent="0.3">
      <c r="A15" s="111"/>
      <c r="B15" s="112"/>
      <c r="E15" s="62" t="s">
        <v>38</v>
      </c>
      <c r="F15" s="62"/>
      <c r="G15" s="63"/>
      <c r="H15" s="64" t="s">
        <v>97</v>
      </c>
      <c r="I15" s="65">
        <v>60</v>
      </c>
      <c r="J15" s="65">
        <f>K15*1.5</f>
        <v>18</v>
      </c>
      <c r="K15" s="65">
        <f t="shared" ref="K15:K18" si="0">I15/5</f>
        <v>12</v>
      </c>
      <c r="N15" s="3" t="s">
        <v>81</v>
      </c>
      <c r="P15" s="45"/>
    </row>
    <row r="16" spans="1:16" s="3" customFormat="1" ht="15.6" customHeight="1" x14ac:dyDescent="0.3">
      <c r="A16" s="111"/>
      <c r="B16" s="112"/>
      <c r="E16" s="41" t="s">
        <v>18</v>
      </c>
      <c r="F16" s="41"/>
      <c r="H16" s="60" t="s">
        <v>96</v>
      </c>
      <c r="I16" s="61">
        <v>60</v>
      </c>
      <c r="J16" s="1">
        <f>K16*1.5</f>
        <v>18</v>
      </c>
      <c r="K16" s="1">
        <f t="shared" si="0"/>
        <v>12</v>
      </c>
      <c r="N16" s="3" t="s">
        <v>82</v>
      </c>
      <c r="P16" s="45"/>
    </row>
    <row r="17" spans="1:16" s="3" customFormat="1" ht="15.6" customHeight="1" x14ac:dyDescent="0.3">
      <c r="A17" s="111"/>
      <c r="B17" s="112"/>
      <c r="E17" s="62" t="s">
        <v>35</v>
      </c>
      <c r="F17" s="62"/>
      <c r="G17" s="63"/>
      <c r="H17" s="64" t="s">
        <v>96</v>
      </c>
      <c r="I17" s="65">
        <v>10</v>
      </c>
      <c r="J17" s="65">
        <f>K17*1.5</f>
        <v>3</v>
      </c>
      <c r="K17" s="65">
        <f t="shared" si="0"/>
        <v>2</v>
      </c>
      <c r="N17" s="3" t="s">
        <v>83</v>
      </c>
      <c r="P17" s="45"/>
    </row>
    <row r="18" spans="1:16" s="3" customFormat="1" ht="15.6" customHeight="1" x14ac:dyDescent="0.3">
      <c r="A18" s="44"/>
      <c r="E18" s="41" t="s">
        <v>36</v>
      </c>
      <c r="F18" s="41"/>
      <c r="H18" s="60" t="s">
        <v>96</v>
      </c>
      <c r="I18" s="61">
        <v>10</v>
      </c>
      <c r="J18" s="1">
        <f>K18*1.5</f>
        <v>3</v>
      </c>
      <c r="K18" s="1">
        <f t="shared" si="0"/>
        <v>2</v>
      </c>
      <c r="N18" s="3" t="s">
        <v>84</v>
      </c>
      <c r="P18" s="45"/>
    </row>
    <row r="19" spans="1:16" s="3" customFormat="1" ht="15.6" customHeight="1" x14ac:dyDescent="0.3">
      <c r="A19" s="57" t="s">
        <v>87</v>
      </c>
      <c r="B19" s="4"/>
      <c r="E19" s="62" t="s">
        <v>22</v>
      </c>
      <c r="F19" s="62"/>
      <c r="G19" s="63"/>
      <c r="H19" s="64" t="s">
        <v>98</v>
      </c>
      <c r="I19" s="66" t="s">
        <v>178</v>
      </c>
      <c r="J19" s="66" t="s">
        <v>94</v>
      </c>
      <c r="K19" s="66"/>
      <c r="N19" s="3" t="s">
        <v>117</v>
      </c>
      <c r="P19" s="45"/>
    </row>
    <row r="20" spans="1:16" s="3" customFormat="1" ht="15.6" customHeight="1" x14ac:dyDescent="0.3">
      <c r="A20" s="44" t="s">
        <v>44</v>
      </c>
      <c r="B20" s="67">
        <v>0</v>
      </c>
      <c r="N20" s="103" t="s">
        <v>85</v>
      </c>
      <c r="O20" s="103"/>
      <c r="P20" s="104"/>
    </row>
    <row r="21" spans="1:16" s="3" customFormat="1" ht="15.6" customHeight="1" x14ac:dyDescent="0.3">
      <c r="A21" s="44" t="s">
        <v>41</v>
      </c>
      <c r="B21" s="67">
        <v>500</v>
      </c>
      <c r="E21" t="s">
        <v>40</v>
      </c>
      <c r="O21" s="68" t="s">
        <v>48</v>
      </c>
      <c r="P21" s="69">
        <v>8</v>
      </c>
    </row>
    <row r="22" spans="1:16" ht="15.6" customHeight="1" x14ac:dyDescent="0.3">
      <c r="A22" s="56" t="s">
        <v>45</v>
      </c>
      <c r="B22" s="67">
        <v>0</v>
      </c>
      <c r="E22" s="2" t="s">
        <v>122</v>
      </c>
      <c r="N22" s="3"/>
      <c r="O22" s="68" t="s">
        <v>41</v>
      </c>
      <c r="P22" s="69">
        <v>5</v>
      </c>
    </row>
    <row r="23" spans="1:16" ht="15.6" customHeight="1" x14ac:dyDescent="0.3">
      <c r="A23" s="56" t="s">
        <v>42</v>
      </c>
      <c r="B23" s="67">
        <v>0</v>
      </c>
      <c r="E23" s="2" t="s">
        <v>124</v>
      </c>
      <c r="M23" s="41"/>
      <c r="N23" s="42"/>
      <c r="P23" s="55"/>
    </row>
    <row r="24" spans="1:16" ht="15.6" customHeight="1" x14ac:dyDescent="0.3">
      <c r="A24" s="56"/>
      <c r="E24" s="2" t="s">
        <v>125</v>
      </c>
      <c r="M24" s="41"/>
      <c r="N24" s="41"/>
      <c r="P24" s="55"/>
    </row>
    <row r="25" spans="1:16" ht="15.6" customHeight="1" x14ac:dyDescent="0.3">
      <c r="A25" s="56"/>
      <c r="E25" s="2" t="s">
        <v>123</v>
      </c>
      <c r="P25" s="55"/>
    </row>
    <row r="26" spans="1:16" ht="15.6" customHeight="1" x14ac:dyDescent="0.3">
      <c r="A26" s="56"/>
      <c r="P26" s="55"/>
    </row>
    <row r="27" spans="1:16" ht="15.6" customHeight="1" x14ac:dyDescent="0.3">
      <c r="A27" s="57" t="s">
        <v>43</v>
      </c>
      <c r="B27" s="4"/>
      <c r="C27" s="43" t="s">
        <v>126</v>
      </c>
      <c r="D27" s="6"/>
      <c r="E27" s="43" t="s">
        <v>127</v>
      </c>
      <c r="F27" s="6"/>
      <c r="G27" s="43" t="s">
        <v>128</v>
      </c>
      <c r="H27" s="6"/>
      <c r="I27" s="43" t="s">
        <v>129</v>
      </c>
      <c r="J27" s="6"/>
      <c r="K27" s="6"/>
      <c r="N27" s="4" t="s">
        <v>29</v>
      </c>
      <c r="O27" s="6"/>
      <c r="P27" s="53"/>
    </row>
    <row r="28" spans="1:16" ht="15.6" customHeight="1" x14ac:dyDescent="0.3">
      <c r="A28" s="97" t="s">
        <v>30</v>
      </c>
      <c r="B28" s="2" t="s">
        <v>101</v>
      </c>
      <c r="N28" s="2" t="s">
        <v>77</v>
      </c>
      <c r="P28" s="55"/>
    </row>
    <row r="29" spans="1:16" ht="15.6" customHeight="1" x14ac:dyDescent="0.3">
      <c r="A29" s="97" t="s">
        <v>31</v>
      </c>
      <c r="B29" s="2" t="s">
        <v>103</v>
      </c>
      <c r="N29" s="2" t="s">
        <v>32</v>
      </c>
      <c r="P29" s="55"/>
    </row>
    <row r="30" spans="1:16" x14ac:dyDescent="0.3">
      <c r="A30" s="97" t="s">
        <v>39</v>
      </c>
      <c r="B30" s="2" t="s">
        <v>102</v>
      </c>
      <c r="N30" s="2" t="s">
        <v>78</v>
      </c>
      <c r="P30" s="55"/>
    </row>
    <row r="31" spans="1:16" ht="15.6" customHeight="1" x14ac:dyDescent="0.3">
      <c r="A31" s="97" t="s">
        <v>89</v>
      </c>
      <c r="B31" s="2" t="s">
        <v>90</v>
      </c>
      <c r="N31" s="2" t="s">
        <v>99</v>
      </c>
      <c r="P31" s="55"/>
    </row>
    <row r="32" spans="1:16" x14ac:dyDescent="0.3">
      <c r="A32" s="56"/>
      <c r="P32" s="55"/>
    </row>
    <row r="33" spans="1:27" ht="15.6" x14ac:dyDescent="0.3">
      <c r="A33" s="70" t="s">
        <v>15</v>
      </c>
      <c r="B33" s="8" t="s">
        <v>19</v>
      </c>
      <c r="C33" s="10" t="s">
        <v>20</v>
      </c>
      <c r="D33" s="9">
        <v>8</v>
      </c>
      <c r="E33" s="10">
        <f>D33-1</f>
        <v>7</v>
      </c>
      <c r="F33" s="9">
        <f t="shared" ref="F33:L33" si="1">E33-1</f>
        <v>6</v>
      </c>
      <c r="G33" s="10">
        <f t="shared" si="1"/>
        <v>5</v>
      </c>
      <c r="H33" s="9">
        <f t="shared" si="1"/>
        <v>4</v>
      </c>
      <c r="I33" s="10">
        <f t="shared" si="1"/>
        <v>3</v>
      </c>
      <c r="J33" s="9">
        <f t="shared" si="1"/>
        <v>2</v>
      </c>
      <c r="K33" s="10">
        <f t="shared" si="1"/>
        <v>1</v>
      </c>
      <c r="L33" s="9">
        <f t="shared" si="1"/>
        <v>0</v>
      </c>
      <c r="M33" s="105" t="s">
        <v>26</v>
      </c>
      <c r="N33" s="105"/>
      <c r="O33" s="4" t="s">
        <v>27</v>
      </c>
      <c r="P33" s="53"/>
    </row>
    <row r="34" spans="1:27" ht="18" x14ac:dyDescent="0.3">
      <c r="A34" s="71" t="s">
        <v>75</v>
      </c>
      <c r="B34" s="1" t="s">
        <v>23</v>
      </c>
      <c r="C34" s="72">
        <v>8</v>
      </c>
      <c r="D34" s="73">
        <f>C34+1</f>
        <v>9</v>
      </c>
      <c r="E34" s="72">
        <f t="shared" ref="E34:L34" si="2">D34+1</f>
        <v>10</v>
      </c>
      <c r="F34" s="73">
        <f t="shared" si="2"/>
        <v>11</v>
      </c>
      <c r="G34" s="72">
        <f t="shared" si="2"/>
        <v>12</v>
      </c>
      <c r="H34" s="73">
        <f t="shared" si="2"/>
        <v>13</v>
      </c>
      <c r="I34" s="72">
        <f t="shared" si="2"/>
        <v>14</v>
      </c>
      <c r="J34" s="73">
        <f t="shared" si="2"/>
        <v>15</v>
      </c>
      <c r="K34" s="72">
        <f t="shared" si="2"/>
        <v>16</v>
      </c>
      <c r="L34" s="73">
        <f t="shared" si="2"/>
        <v>17</v>
      </c>
      <c r="M34" s="106" t="s">
        <v>28</v>
      </c>
      <c r="N34" s="106"/>
      <c r="P34" s="55"/>
    </row>
    <row r="35" spans="1:27" ht="18" x14ac:dyDescent="0.3">
      <c r="A35" s="71" t="s">
        <v>76</v>
      </c>
      <c r="B35" s="1" t="s">
        <v>105</v>
      </c>
      <c r="C35" s="72">
        <v>8</v>
      </c>
      <c r="D35" s="73">
        <f t="shared" ref="D35:L35" si="3">C35+1</f>
        <v>9</v>
      </c>
      <c r="E35" s="72">
        <f t="shared" si="3"/>
        <v>10</v>
      </c>
      <c r="F35" s="73">
        <f t="shared" si="3"/>
        <v>11</v>
      </c>
      <c r="G35" s="72">
        <f t="shared" si="3"/>
        <v>12</v>
      </c>
      <c r="H35" s="73">
        <f t="shared" si="3"/>
        <v>13</v>
      </c>
      <c r="I35" s="72">
        <f t="shared" si="3"/>
        <v>14</v>
      </c>
      <c r="J35" s="73">
        <f t="shared" si="3"/>
        <v>15</v>
      </c>
      <c r="K35" s="72">
        <f t="shared" si="3"/>
        <v>16</v>
      </c>
      <c r="L35" s="73">
        <f t="shared" si="3"/>
        <v>17</v>
      </c>
      <c r="M35" s="107" t="s">
        <v>110</v>
      </c>
      <c r="N35" s="107"/>
      <c r="O35" s="3" t="s">
        <v>108</v>
      </c>
      <c r="P35" s="55"/>
    </row>
    <row r="36" spans="1:27" ht="18.600000000000001" thickBot="1" x14ac:dyDescent="0.35">
      <c r="A36" s="74" t="s">
        <v>104</v>
      </c>
      <c r="B36" s="75" t="s">
        <v>106</v>
      </c>
      <c r="C36" s="76">
        <v>9</v>
      </c>
      <c r="D36" s="77">
        <f t="shared" ref="D36:L36" si="4">C36+1</f>
        <v>10</v>
      </c>
      <c r="E36" s="76">
        <f t="shared" si="4"/>
        <v>11</v>
      </c>
      <c r="F36" s="77">
        <f t="shared" si="4"/>
        <v>12</v>
      </c>
      <c r="G36" s="76">
        <f t="shared" si="4"/>
        <v>13</v>
      </c>
      <c r="H36" s="77">
        <f t="shared" si="4"/>
        <v>14</v>
      </c>
      <c r="I36" s="76">
        <f t="shared" si="4"/>
        <v>15</v>
      </c>
      <c r="J36" s="77">
        <f t="shared" si="4"/>
        <v>16</v>
      </c>
      <c r="K36" s="76">
        <f t="shared" si="4"/>
        <v>17</v>
      </c>
      <c r="L36" s="77">
        <f t="shared" si="4"/>
        <v>18</v>
      </c>
      <c r="M36" s="108" t="s">
        <v>107</v>
      </c>
      <c r="N36" s="108"/>
      <c r="O36" s="78" t="s">
        <v>109</v>
      </c>
      <c r="P36" s="79"/>
      <c r="AA36"/>
    </row>
  </sheetData>
  <mergeCells count="17">
    <mergeCell ref="A14:B17"/>
    <mergeCell ref="N20:P20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  <mergeCell ref="M33:N33"/>
    <mergeCell ref="M34:N34"/>
    <mergeCell ref="M35:N35"/>
    <mergeCell ref="M36:N36"/>
    <mergeCell ref="C11:I11"/>
  </mergeCells>
  <phoneticPr fontId="18" type="noConversion"/>
  <pageMargins left="0.25" right="0.25" top="0.75" bottom="0.75" header="0.3" footer="0.3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J76"/>
  <sheetViews>
    <sheetView topLeftCell="A18" zoomScale="130" zoomScaleNormal="130" workbookViewId="0">
      <selection activeCell="B39" sqref="B39"/>
    </sheetView>
  </sheetViews>
  <sheetFormatPr defaultRowHeight="14.4" x14ac:dyDescent="0.3"/>
  <cols>
    <col min="1" max="1" width="9" customWidth="1"/>
    <col min="2" max="2" width="9.109375" style="11" customWidth="1"/>
    <col min="3" max="6" width="10.6640625" customWidth="1"/>
    <col min="7" max="7" width="9" customWidth="1"/>
    <col min="10" max="10" width="9.21875" customWidth="1"/>
  </cols>
  <sheetData>
    <row r="1" spans="1:10" ht="23.4" customHeight="1" x14ac:dyDescent="0.3">
      <c r="A1" s="15" t="s">
        <v>47</v>
      </c>
      <c r="B1" s="15"/>
      <c r="C1" s="15"/>
      <c r="D1" s="15"/>
      <c r="E1" s="30" t="s">
        <v>46</v>
      </c>
      <c r="F1" s="30" t="s">
        <v>48</v>
      </c>
      <c r="G1" s="31" t="s">
        <v>65</v>
      </c>
      <c r="H1" s="15"/>
      <c r="I1" s="15"/>
      <c r="J1" s="15"/>
    </row>
    <row r="2" spans="1:10" ht="4.2" customHeight="1" x14ac:dyDescent="0.3"/>
    <row r="3" spans="1:10" ht="17.399999999999999" customHeight="1" x14ac:dyDescent="0.3">
      <c r="A3" s="32">
        <v>1</v>
      </c>
      <c r="B3" s="17"/>
      <c r="C3" s="17"/>
      <c r="D3" s="17"/>
      <c r="E3" s="19"/>
      <c r="F3" s="21"/>
      <c r="G3" s="21"/>
      <c r="H3" s="17"/>
      <c r="I3" s="17"/>
      <c r="J3" s="17"/>
    </row>
    <row r="4" spans="1:10" ht="17.399999999999999" customHeight="1" x14ac:dyDescent="0.3">
      <c r="A4" s="33">
        <f>A3+1</f>
        <v>2</v>
      </c>
      <c r="B4" s="14"/>
      <c r="C4" s="14"/>
      <c r="D4" s="14"/>
      <c r="E4" s="18"/>
      <c r="F4" s="18"/>
      <c r="G4" s="18"/>
      <c r="H4" s="14"/>
      <c r="I4" s="14"/>
      <c r="J4" s="14"/>
    </row>
    <row r="5" spans="1:10" ht="17.399999999999999" customHeight="1" x14ac:dyDescent="0.3">
      <c r="A5" s="34">
        <v>3</v>
      </c>
      <c r="B5"/>
      <c r="E5" s="12"/>
      <c r="F5" s="13"/>
      <c r="G5" s="13"/>
    </row>
    <row r="6" spans="1:10" ht="17.399999999999999" customHeight="1" x14ac:dyDescent="0.3">
      <c r="A6" s="33">
        <v>4</v>
      </c>
      <c r="B6" s="14"/>
      <c r="C6" s="14"/>
      <c r="D6" s="14"/>
      <c r="E6" s="18"/>
      <c r="F6" s="18"/>
      <c r="G6" s="18"/>
      <c r="H6" s="14"/>
      <c r="I6" s="14"/>
      <c r="J6" s="14"/>
    </row>
    <row r="7" spans="1:10" ht="17.399999999999999" customHeight="1" x14ac:dyDescent="0.3">
      <c r="A7" s="34">
        <v>5</v>
      </c>
      <c r="B7"/>
      <c r="E7" s="12"/>
      <c r="F7" s="13"/>
      <c r="G7" s="13"/>
    </row>
    <row r="8" spans="1:10" ht="17.399999999999999" customHeight="1" x14ac:dyDescent="0.3">
      <c r="A8" s="33">
        <v>6</v>
      </c>
      <c r="B8" s="14"/>
      <c r="C8" s="14"/>
      <c r="D8" s="14"/>
      <c r="E8" s="18"/>
      <c r="F8" s="18"/>
      <c r="G8" s="18"/>
      <c r="H8" s="14"/>
      <c r="I8" s="14"/>
      <c r="J8" s="14"/>
    </row>
    <row r="9" spans="1:10" ht="17.399999999999999" customHeight="1" x14ac:dyDescent="0.3">
      <c r="A9" s="34">
        <v>7</v>
      </c>
      <c r="B9"/>
      <c r="E9" s="12"/>
      <c r="F9" s="13"/>
      <c r="G9" s="13"/>
    </row>
    <row r="10" spans="1:10" ht="17.399999999999999" customHeight="1" x14ac:dyDescent="0.3">
      <c r="A10" s="33">
        <v>8</v>
      </c>
      <c r="B10" s="14"/>
      <c r="C10" s="14"/>
      <c r="D10" s="14"/>
      <c r="E10" s="18"/>
      <c r="F10" s="18"/>
      <c r="G10" s="18"/>
      <c r="H10" s="14"/>
      <c r="I10" s="14"/>
      <c r="J10" s="14"/>
    </row>
    <row r="11" spans="1:10" ht="17.399999999999999" customHeight="1" x14ac:dyDescent="0.3">
      <c r="A11" s="34">
        <v>9</v>
      </c>
      <c r="B11"/>
      <c r="E11" s="12"/>
      <c r="F11" s="13"/>
      <c r="G11" s="13"/>
    </row>
    <row r="12" spans="1:10" ht="17.399999999999999" customHeight="1" x14ac:dyDescent="0.3">
      <c r="A12" s="35">
        <v>10</v>
      </c>
      <c r="B12" s="22"/>
      <c r="C12" s="22"/>
      <c r="D12" s="22"/>
      <c r="E12" s="23"/>
      <c r="F12" s="23"/>
      <c r="G12" s="23"/>
      <c r="H12" s="22"/>
      <c r="I12" s="22"/>
      <c r="J12" s="22"/>
    </row>
    <row r="13" spans="1:10" ht="17.399999999999999" customHeight="1" x14ac:dyDescent="0.3">
      <c r="A13" s="34">
        <v>11</v>
      </c>
      <c r="B13"/>
      <c r="E13" s="12"/>
      <c r="F13" s="13"/>
      <c r="G13" s="13"/>
    </row>
    <row r="14" spans="1:10" ht="17.399999999999999" customHeight="1" x14ac:dyDescent="0.3">
      <c r="A14" s="36">
        <v>12</v>
      </c>
      <c r="B14" s="16"/>
      <c r="C14" s="16"/>
      <c r="D14" s="16"/>
      <c r="E14" s="20"/>
      <c r="F14" s="20"/>
      <c r="G14" s="20"/>
      <c r="H14" s="16"/>
      <c r="I14" s="16"/>
      <c r="J14" s="16"/>
    </row>
    <row r="15" spans="1:10" ht="17.399999999999999" customHeight="1" x14ac:dyDescent="0.3">
      <c r="A15" s="34">
        <v>13</v>
      </c>
      <c r="B15"/>
      <c r="E15" s="12"/>
      <c r="F15" s="13"/>
      <c r="G15" s="13"/>
    </row>
    <row r="16" spans="1:10" ht="17.399999999999999" customHeight="1" x14ac:dyDescent="0.3">
      <c r="A16" s="33">
        <v>14</v>
      </c>
      <c r="B16" s="14"/>
      <c r="C16" s="14"/>
      <c r="D16" s="14"/>
      <c r="E16" s="18"/>
      <c r="F16" s="18"/>
      <c r="G16" s="18"/>
      <c r="H16" s="14"/>
      <c r="I16" s="14"/>
      <c r="J16" s="14"/>
    </row>
    <row r="17" spans="1:10" ht="17.399999999999999" customHeight="1" x14ac:dyDescent="0.3">
      <c r="A17" s="34">
        <v>15</v>
      </c>
      <c r="B17"/>
      <c r="E17" s="12"/>
      <c r="F17" s="13"/>
      <c r="G17" s="13"/>
    </row>
    <row r="18" spans="1:10" ht="17.399999999999999" customHeight="1" x14ac:dyDescent="0.3">
      <c r="A18" s="33">
        <v>16</v>
      </c>
      <c r="B18" s="14"/>
      <c r="C18" s="14"/>
      <c r="D18" s="14"/>
      <c r="E18" s="18"/>
      <c r="F18" s="18"/>
      <c r="G18" s="18"/>
      <c r="H18" s="14"/>
      <c r="I18" s="14"/>
      <c r="J18" s="14"/>
    </row>
    <row r="19" spans="1:10" ht="17.399999999999999" customHeight="1" x14ac:dyDescent="0.3">
      <c r="A19" s="34">
        <v>17</v>
      </c>
      <c r="B19"/>
      <c r="E19" s="12"/>
      <c r="F19" s="13"/>
      <c r="G19" s="13"/>
    </row>
    <row r="20" spans="1:10" ht="17.399999999999999" customHeight="1" x14ac:dyDescent="0.3">
      <c r="A20" s="33">
        <v>18</v>
      </c>
      <c r="B20" s="14"/>
      <c r="C20" s="14"/>
      <c r="D20" s="14"/>
      <c r="E20" s="18"/>
      <c r="F20" s="18"/>
      <c r="G20" s="18"/>
      <c r="H20" s="14"/>
      <c r="I20" s="14"/>
      <c r="J20" s="14"/>
    </row>
    <row r="21" spans="1:10" ht="17.399999999999999" customHeight="1" x14ac:dyDescent="0.3">
      <c r="A21" s="34">
        <v>19</v>
      </c>
      <c r="B21"/>
      <c r="E21" s="12"/>
      <c r="F21" s="13"/>
      <c r="G21" s="13"/>
    </row>
    <row r="22" spans="1:10" ht="17.399999999999999" customHeight="1" x14ac:dyDescent="0.3">
      <c r="A22" s="35">
        <v>20</v>
      </c>
      <c r="B22" s="22"/>
      <c r="C22" s="22"/>
      <c r="D22" s="22"/>
      <c r="E22" s="23"/>
      <c r="F22" s="23"/>
      <c r="G22" s="23"/>
      <c r="H22" s="22"/>
      <c r="I22" s="22"/>
      <c r="J22" s="22"/>
    </row>
    <row r="23" spans="1:10" ht="17.399999999999999" customHeight="1" x14ac:dyDescent="0.3">
      <c r="A23" s="34">
        <v>21</v>
      </c>
      <c r="B23"/>
      <c r="E23" s="12"/>
      <c r="F23" s="13"/>
      <c r="G23" s="13"/>
    </row>
    <row r="24" spans="1:10" ht="17.399999999999999" customHeight="1" x14ac:dyDescent="0.3">
      <c r="A24" s="36">
        <v>22</v>
      </c>
      <c r="B24" s="16"/>
      <c r="C24" s="16"/>
      <c r="D24" s="16"/>
      <c r="E24" s="20"/>
      <c r="F24" s="20"/>
      <c r="G24" s="20"/>
      <c r="H24" s="16"/>
      <c r="I24" s="16"/>
      <c r="J24" s="16"/>
    </row>
    <row r="25" spans="1:10" ht="17.399999999999999" customHeight="1" x14ac:dyDescent="0.3">
      <c r="A25" s="34">
        <v>23</v>
      </c>
      <c r="B25"/>
      <c r="E25" s="12"/>
      <c r="F25" s="13"/>
      <c r="G25" s="13"/>
    </row>
    <row r="26" spans="1:10" ht="17.399999999999999" customHeight="1" x14ac:dyDescent="0.3">
      <c r="A26" s="33">
        <v>24</v>
      </c>
      <c r="B26" s="14"/>
      <c r="C26" s="14"/>
      <c r="D26" s="14"/>
      <c r="E26" s="18"/>
      <c r="F26" s="18"/>
      <c r="G26" s="18"/>
      <c r="H26" s="14"/>
      <c r="I26" s="14"/>
      <c r="J26" s="14"/>
    </row>
    <row r="27" spans="1:10" ht="17.399999999999999" customHeight="1" x14ac:dyDescent="0.3">
      <c r="A27" s="34">
        <v>25</v>
      </c>
      <c r="B27"/>
      <c r="E27" s="12"/>
      <c r="F27" s="13"/>
      <c r="G27" s="13"/>
    </row>
    <row r="28" spans="1:10" ht="17.399999999999999" customHeight="1" x14ac:dyDescent="0.3">
      <c r="A28" s="33">
        <v>26</v>
      </c>
      <c r="B28" s="14"/>
      <c r="C28" s="14"/>
      <c r="D28" s="14"/>
      <c r="E28" s="18"/>
      <c r="F28" s="18"/>
      <c r="G28" s="18"/>
      <c r="H28" s="14"/>
      <c r="I28" s="14"/>
      <c r="J28" s="14"/>
    </row>
    <row r="29" spans="1:10" ht="17.399999999999999" customHeight="1" x14ac:dyDescent="0.3">
      <c r="A29" s="34">
        <v>27</v>
      </c>
      <c r="B29"/>
      <c r="E29" s="12"/>
      <c r="F29" s="13"/>
      <c r="G29" s="13"/>
    </row>
    <row r="30" spans="1:10" ht="17.399999999999999" customHeight="1" x14ac:dyDescent="0.3">
      <c r="A30" s="33">
        <v>28</v>
      </c>
      <c r="B30" s="14"/>
      <c r="C30" s="14"/>
      <c r="D30" s="14"/>
      <c r="E30" s="18"/>
      <c r="F30" s="18"/>
      <c r="G30" s="18"/>
      <c r="H30" s="14"/>
      <c r="I30" s="14"/>
      <c r="J30" s="14"/>
    </row>
    <row r="31" spans="1:10" ht="17.399999999999999" customHeight="1" x14ac:dyDescent="0.3">
      <c r="A31" s="37">
        <v>29</v>
      </c>
      <c r="B31" s="27"/>
      <c r="C31" s="27"/>
      <c r="D31" s="27"/>
      <c r="E31" s="28"/>
      <c r="F31" s="29"/>
      <c r="G31" s="29"/>
      <c r="H31" s="27"/>
      <c r="I31" s="27"/>
      <c r="J31" s="27"/>
    </row>
    <row r="32" spans="1:10" ht="17.399999999999999" customHeight="1" x14ac:dyDescent="0.3"/>
    <row r="33" spans="1:10" ht="17.399999999999999" customHeight="1" x14ac:dyDescent="0.3">
      <c r="A33" s="25" t="s">
        <v>48</v>
      </c>
      <c r="B33" s="25" t="s">
        <v>64</v>
      </c>
      <c r="C33" s="25"/>
      <c r="D33" s="25"/>
      <c r="E33" s="25"/>
      <c r="F33" s="25"/>
      <c r="G33" s="26" t="s">
        <v>49</v>
      </c>
      <c r="H33" s="26" t="s">
        <v>48</v>
      </c>
      <c r="I33" s="26" t="s">
        <v>50</v>
      </c>
      <c r="J33" s="26" t="s">
        <v>51</v>
      </c>
    </row>
    <row r="34" spans="1:10" ht="17.399999999999999" customHeight="1" x14ac:dyDescent="0.3">
      <c r="A34" s="1">
        <v>0</v>
      </c>
      <c r="B34" s="38" t="s">
        <v>69</v>
      </c>
      <c r="C34" s="39"/>
      <c r="D34" s="2"/>
      <c r="E34" s="2"/>
      <c r="F34" s="2"/>
      <c r="G34" s="40" t="s">
        <v>70</v>
      </c>
      <c r="H34" s="1">
        <v>14</v>
      </c>
      <c r="I34" s="1">
        <v>4</v>
      </c>
      <c r="J34" s="1" t="s">
        <v>57</v>
      </c>
    </row>
    <row r="35" spans="1:10" ht="17.399999999999999" customHeight="1" x14ac:dyDescent="0.3">
      <c r="A35" s="1">
        <v>1</v>
      </c>
      <c r="B35" s="38" t="s">
        <v>67</v>
      </c>
      <c r="C35" s="39"/>
      <c r="D35" s="2"/>
      <c r="E35" s="2"/>
      <c r="F35" s="2"/>
      <c r="G35" s="24" t="s">
        <v>52</v>
      </c>
      <c r="H35" s="1">
        <v>18</v>
      </c>
      <c r="I35" s="1">
        <v>5</v>
      </c>
      <c r="J35" s="1" t="s">
        <v>58</v>
      </c>
    </row>
    <row r="36" spans="1:10" ht="17.399999999999999" customHeight="1" x14ac:dyDescent="0.3">
      <c r="A36" s="1">
        <v>2</v>
      </c>
      <c r="B36" s="38" t="s">
        <v>68</v>
      </c>
      <c r="C36" s="39"/>
      <c r="D36" s="2"/>
      <c r="E36" s="2"/>
      <c r="F36" s="2"/>
      <c r="G36" s="24" t="s">
        <v>53</v>
      </c>
      <c r="H36" s="1">
        <v>20</v>
      </c>
      <c r="I36" s="1">
        <v>6</v>
      </c>
      <c r="J36" s="1" t="s">
        <v>59</v>
      </c>
    </row>
    <row r="37" spans="1:10" ht="17.399999999999999" customHeight="1" x14ac:dyDescent="0.3">
      <c r="A37" s="1">
        <v>3</v>
      </c>
      <c r="B37" s="38" t="s">
        <v>66</v>
      </c>
      <c r="C37" s="39"/>
      <c r="D37" s="2"/>
      <c r="E37" s="2"/>
      <c r="F37" s="2"/>
      <c r="G37" s="24" t="s">
        <v>54</v>
      </c>
      <c r="H37" s="1">
        <v>22</v>
      </c>
      <c r="I37" s="1">
        <v>7</v>
      </c>
      <c r="J37" s="1" t="s">
        <v>60</v>
      </c>
    </row>
    <row r="38" spans="1:10" ht="17.399999999999999" customHeight="1" x14ac:dyDescent="0.3">
      <c r="A38" s="1" t="s">
        <v>63</v>
      </c>
      <c r="B38" s="38" t="s">
        <v>86</v>
      </c>
      <c r="C38" s="39"/>
      <c r="D38" s="2"/>
      <c r="E38" s="2"/>
      <c r="F38" s="2"/>
      <c r="G38" s="24" t="s">
        <v>55</v>
      </c>
      <c r="H38" s="1">
        <v>24</v>
      </c>
      <c r="I38" s="1">
        <v>8</v>
      </c>
      <c r="J38" s="1" t="s">
        <v>61</v>
      </c>
    </row>
    <row r="39" spans="1:10" ht="17.399999999999999" customHeight="1" x14ac:dyDescent="0.3">
      <c r="A39" s="2"/>
      <c r="B39" s="1"/>
      <c r="C39" s="2"/>
      <c r="D39" s="2"/>
      <c r="E39" s="2"/>
      <c r="F39" s="2"/>
      <c r="G39" s="24" t="s">
        <v>56</v>
      </c>
      <c r="H39" s="1">
        <v>26</v>
      </c>
      <c r="I39" s="1">
        <v>9</v>
      </c>
      <c r="J39" s="1" t="s">
        <v>62</v>
      </c>
    </row>
    <row r="40" spans="1:10" ht="17.399999999999999" customHeight="1" x14ac:dyDescent="0.3"/>
    <row r="41" spans="1:10" ht="17.399999999999999" customHeight="1" x14ac:dyDescent="0.3"/>
    <row r="42" spans="1:10" ht="17.399999999999999" customHeight="1" x14ac:dyDescent="0.3"/>
    <row r="43" spans="1:10" ht="17.399999999999999" customHeight="1" x14ac:dyDescent="0.3"/>
    <row r="44" spans="1:10" ht="17.399999999999999" customHeight="1" x14ac:dyDescent="0.3"/>
    <row r="45" spans="1:10" ht="17.399999999999999" customHeight="1" x14ac:dyDescent="0.3"/>
    <row r="46" spans="1:10" ht="17.399999999999999" customHeight="1" x14ac:dyDescent="0.3"/>
    <row r="47" spans="1:10" ht="17.399999999999999" customHeight="1" x14ac:dyDescent="0.3"/>
    <row r="48" spans="1:10" ht="17.399999999999999" customHeight="1" x14ac:dyDescent="0.3"/>
    <row r="49" ht="17.399999999999999" customHeight="1" x14ac:dyDescent="0.3"/>
    <row r="50" ht="17.399999999999999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  <row r="70" ht="17.399999999999999" customHeight="1" x14ac:dyDescent="0.3"/>
    <row r="71" ht="17.399999999999999" customHeight="1" x14ac:dyDescent="0.3"/>
    <row r="72" ht="17.399999999999999" customHeight="1" x14ac:dyDescent="0.3"/>
    <row r="73" ht="17.399999999999999" customHeight="1" x14ac:dyDescent="0.3"/>
    <row r="74" ht="17.399999999999999" customHeight="1" x14ac:dyDescent="0.3"/>
    <row r="75" ht="17.399999999999999" customHeight="1" x14ac:dyDescent="0.3"/>
    <row r="76" ht="17.399999999999999" customHeight="1" x14ac:dyDescent="0.3"/>
  </sheetData>
  <pageMargins left="0.25" right="0.25" top="0.75" bottom="0.75" header="0.3" footer="0.3"/>
  <pageSetup paperSize="9" fitToWidth="0"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2025-12-16T19:05:21Z</cp:lastPrinted>
  <dcterms:created xsi:type="dcterms:W3CDTF">2025-12-03T19:05:58Z</dcterms:created>
  <dcterms:modified xsi:type="dcterms:W3CDTF">2025-12-16T22:59:59Z</dcterms:modified>
</cp:coreProperties>
</file>