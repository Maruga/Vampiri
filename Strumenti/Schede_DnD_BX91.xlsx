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10F795EB-E4CE-4B31-8160-EBC76C526309}" xr6:coauthVersionLast="47" xr6:coauthVersionMax="47" xr10:uidLastSave="{00000000-0000-0000-0000-000000000000}"/>
  <bookViews>
    <workbookView xWindow="12156" yWindow="0" windowWidth="29712" windowHeight="16656" firstSheet="1" activeTab="8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Retro" sheetId="2" r:id="rId8"/>
    <sheet name="Emporio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K18" i="1"/>
  <c r="K16" i="1"/>
  <c r="P11" i="8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J15" i="1"/>
  <c r="I15" i="1" s="1"/>
  <c r="J16" i="1"/>
  <c r="I16" i="1" s="1"/>
  <c r="J17" i="1"/>
  <c r="I17" i="1" s="1"/>
  <c r="J18" i="1"/>
  <c r="I18" i="1" s="1"/>
  <c r="J14" i="1"/>
  <c r="I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<sst xmlns="http://schemas.openxmlformats.org/spreadsheetml/2006/main" count="1049" uniqueCount="389">
  <si>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</si>
  <si>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</si>
  <si>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</si>
  <si>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</si>
  <si>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</si>
  <si>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</si>
  <si>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</si>
  <si>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</si>
  <si>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</si>
  <si>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</si>
  <si>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</si>
  <si>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</si>
  <si>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</si>
  <si>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</si>
  <si>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</si>
  <si>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</si>
  <si>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</si>
  <si>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</si>
  <si>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</si>
  <si>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</si>
  <si>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</si>
  <si>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</si>
  <si>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</si>
  <si>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</si>
  <si>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</si>
  <si>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</si>
  <si>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</si>
  <si>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</si>
  <si>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</si>
  <si>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</si>
  <si>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</si>
  <si>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</si>
  <si>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</si>
  <si>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</si>
  <si>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</si>
  <si>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</si>
  <si>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</si>
  <si>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</si>
  <si>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</si>
  <si>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</si>
  <si>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</si>
  <si>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</si>
  <si>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</si>
  <si>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</si>
  <si>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</si>
  <si>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</si>
  <si>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</si>
  <si>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</si>
  <si>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</si>
  <si>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</si>
  <si>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</si>
  <si>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</si>
  <si>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</si>
  <si>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</si>
  <si>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</si>
  <si>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</si>
  <si>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</si>
  <si>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</si>
  <si>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</si>
  <si>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</si>
  <si>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</si>
  <si>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</si>
  <si>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</si>
  <si>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</si>
  <si>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</si>
  <si>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</si>
  <si>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</si>
  <si>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</si>
  <si>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</si>
  <si>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</si>
  <si>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</si>
  <si>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</si>
  <si>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</si>
  <si>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</si>
  <si>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</si>
  <si>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</si>
  <si>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</si>
  <si>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</si>
  <si>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</si>
  <si>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</si>
  <si>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</si>
  <si>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</si>
  <si>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</si>
  <si>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</si>
  <si>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</si>
  <si>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</si>
  <si>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</si>
  <si>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</si>
  <si>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</si>
  <si>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</si>
  <si>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</si>
  <si>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</si>
  <si>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</si>
  <si>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</si>
  <si>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</si>
  <si>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</si>
  <si>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</si>
  <si>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</si>
  <si>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</si>
  <si>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</si>
  <si>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</si>
  <si>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</si>
  <si>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</si>
  <si>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</si>
  <si>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</si>
  <si>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</si>
  <si>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</si>
  <si>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</si>
  <si>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</si>
  <si>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</si>
  <si>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</si>
  <si>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</si>
  <si>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</si>
  <si>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</si>
  <si>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</si>
  <si>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</si>
  <si>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</si>
  <si>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</si>
  <si>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</si>
  <si>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</si>
  <si>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</si>
  <si>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</si>
  <si>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</si>
  <si>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</si>
  <si>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</si>
  <si>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</si>
  <si>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</si>
  <si>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</si>
  <si>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</si>
  <si>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</si>
  <si>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</si>
  <si>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</si>
  <si>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</si>
  <si>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</si>
  <si>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</si>
  <si>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</si>
  <si>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</si>
  <si>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</si>
  <si>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</si>
  <si>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</si>
  <si>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</si>
  <si>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</si>
  <si>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</si>
  <si>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</si>
  <si>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</si>
  <si>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</si>
  <si>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</si>
  <si>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</si>
  <si>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</si>
  <si>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</si>
  <si>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</si>
  <si>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</si>
  <si>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</si>
  <si>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</si>
  <si>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</si>
  <si>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</si>
  <si>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</si>
  <si>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</si>
  <si>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</si>
  <si>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</si>
  <si>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</si>
  <si>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</si>
  <si>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</si>
  <si>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</si>
  <si>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</si>
  <si>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</si>
  <si>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</si>
  <si>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</si>
  <si>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</si>
  <si>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</si>
  <si>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</si>
  <si>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</si>
  <si>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</si>
  <si>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</si>
  <si>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</si>
  <si>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</si>
  <si>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</si>
  <si>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</si>
  <si>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</si>
  <si>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</si>
  <si>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</si>
  <si>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</si>
  <si>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</si>
  <si>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</si>
  <si>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</si>
  <si>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</si>
  <si>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</si>
  <si>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</si>
  <si>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</si>
  <si>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</si>
  <si>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</si>
  <si>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</si>
  <si>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</si>
  <si>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</si>
  <si>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</si>
  <si>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</si>
  <si>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</si>
  <si>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</si>
  <si>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</si>
  <si>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</si>
  <si>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</si>
  <si>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</si>
  <si>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</si>
  <si>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</si>
  <si>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</si>
  <si>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</si>
  <si>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</si>
  <si>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</si>
  <si>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</si>
  <si>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</si>
  <si>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</si>
  <si>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</si>
  <si>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</si>
  <si>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</si>
  <si>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</si>
  <si>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</si>
  <si>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</si>
  <si>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</si>
  <si>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</si>
  <si>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</si>
  <si>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</si>
  <si>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</si>
  <si>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Copertura vs area: Parz. +2 TS, Quasi tot. +4 TS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</si>
  <si>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</si>
  <si>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</si>
  <si>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</si>
  <si>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</si>
  <si>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</si>
  <si>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</si>
  <si>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</si>
  <si>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</si>
  <si>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</si>
  <si>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</si>
  <si>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</si>
  <si>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</si>
  <si>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</si>
  <si>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</si>
  <si>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</si>
  <si>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</si>
  <si>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</si>
  <si>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</si>
  <si>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</si>
  <si>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</si>
  <si>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</si>
  <si>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</si>
  <si>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</si>
  <si>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</si>
  <si>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</si>
  <si>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</si>
  <si>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</si>
  <si>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</si>
  <si>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</si>
  <si>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</si>
  <si>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</si>
  <si>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</si>
  <si>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</si>
  <si>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</si>
  <si>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</si>
  <si>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</si>
  <si>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</si>
  <si>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</si>
  <si>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</si>
  <si>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</si>
  <si>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</si>
  <si>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</si>
  <si>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</si>
  <si>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</si>
  <si>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</si>
  <si>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</si>
  <si>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</si>
  <si>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</si>
  <si>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</si>
  <si>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</si>
  <si>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</si>
  <si>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</si>
  <si>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</si>
  <si>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</si>
  <si>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</si>
  <si>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</si>
  <si>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</si>
  <si>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</si>
  <si>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</si>
  <si>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</si>
  <si>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</si>
  <si>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</si>
  <si>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</si>
  <si>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</si>
  <si>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</si>
  <si>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</si>
  <si>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</si>
  <si>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</si>
  <si>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</si>
  <si>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</si>
  <si>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</si>
  <si>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</si>
  <si>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</si>
  <si>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</si>
  <si>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</si>
  <si>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</si>
  <si>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</si>
  <si>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</si>
  <si>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</si>
  <si>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</si>
  <si>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</si>
  <si>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</si>
  <si>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</si>
  <si>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</si>
  <si>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</si>
  <si>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</si>
  <si>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</si>
  <si>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</si>
  <si>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</si>
  <si>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</si>
  <si>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</si>
  <si>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</si>
  <si>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</si>
  <si>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</si>
  <si>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</si>
  <si>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</si>
  <si>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Copertura: Parziale -2 TxC | Quasi Totale -4 TxC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</si>
  <si>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</si>
  <si>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</si>
  <si>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</si>
  <si>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</si>
  <si>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</si>
  <si>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</si>
  <si>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</si>
  <si>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</si>
  <si>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</si>
  <si>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</si>
  <si>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</si>
  <si>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</si>
  <si>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</si>
  <si>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</si>
  <si>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</si>
  <si>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</si>
  <si>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</si>
  <si>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</si>
  <si>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</si>
  <si>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</si>
  <si>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</si>
  <si>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</si>
  <si>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</si>
  <si>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</si>
  <si>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</si>
  <si>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</si>
  <si>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</si>
  <si>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</si>
  <si>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</si>
  <si>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</si>
  <si>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</si>
  <si>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</si>
  <si>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</si>
  <si>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</si>
  <si>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</si>
  <si>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</si>
  <si>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</si>
  <si>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</si>
  <si>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</si>
  <si>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</si>
  <si>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</si>
  <si>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</si>
  <si>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</si>
  <si>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</si>
  <si>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</si>
  <si>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</si>
  <si>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</si>
  <si>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</si>
  <si>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</si>
  <si>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</si>
  <si>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</si>
  <si>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</si>
  <si>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+1MG</t>
  </si>
  <si>
    <t>-1MG</t>
  </si>
  <si>
    <t>-2MG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</si>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</sst>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8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center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9" fillId="4" borderId="15" xfId="0" applyFont="1" applyFill="1" applyBorder="1" applyAlignment="1">
      <alignment vertical="center"/>
    </xf>
    <xf numFmtId="0" fontId="28" fillId="0" borderId="15" xfId="0" applyFont="1" applyBorder="1" applyAlignment="1">
      <alignment vertical="center"/>
    </xf>
    <xf numFmtId="0" fontId="28" fillId="0" borderId="13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8" fillId="0" borderId="13" xfId="0" applyFont="1" applyBorder="1" applyAlignment="1">
      <alignment vertical="center"/>
    </xf>
    <xf numFmtId="0" fontId="27" fillId="0" borderId="16" xfId="0" applyFont="1" applyBorder="1" applyAlignment="1">
      <alignment horizontal="center" vertical="center"/>
    </xf>
    <xf numFmtId="0" fontId="28" fillId="0" borderId="16" xfId="0" applyFont="1" applyBorder="1" applyAlignment="1">
      <alignment vertical="center"/>
    </xf>
    <xf numFmtId="0" fontId="29" fillId="0" borderId="18" xfId="0" applyFont="1" applyBorder="1" applyAlignment="1">
      <alignment horizontal="center" vertical="center"/>
    </xf>
    <xf numFmtId="164" fontId="28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30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34" fillId="0" borderId="15" xfId="0" applyFont="1" applyBorder="1" applyAlignment="1">
      <alignment vertical="center"/>
    </xf>
    <xf numFmtId="0" fontId="34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3" borderId="0" xfId="0" applyFont="1" applyFill="1"/>
    <xf numFmtId="0" fontId="20" fillId="13" borderId="0" xfId="0" applyFont="1" applyFill="1" applyAlignment="1">
      <alignment horizontal="left"/>
    </xf>
    <xf numFmtId="0" fontId="20" fillId="12" borderId="0" xfId="0" applyFont="1" applyFill="1" applyAlignment="1">
      <alignment horizontal="left" vertical="center"/>
    </xf>
    <xf numFmtId="0" fontId="20" fillId="12" borderId="0" xfId="0" applyFont="1" applyFill="1" applyAlignment="1">
      <alignment vertical="center"/>
    </xf>
    <xf numFmtId="0" fontId="2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vertical="center"/>
    </xf>
    <xf numFmtId="0" fontId="25" fillId="8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left"/>
    </xf>
    <xf numFmtId="0" fontId="0" fillId="11" borderId="0" xfId="0" applyFill="1"/>
    <xf numFmtId="0" fontId="11" fillId="0" borderId="0" xfId="0" applyFont="1"/>
    <xf numFmtId="0" fontId="37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6" fillId="0" borderId="0" xfId="0" applyFont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8" fillId="4" borderId="0" xfId="0" applyFont="1" applyFill="1" applyAlignment="1">
      <alignment horizontal="left" vertical="center"/>
    </xf>
    <xf numFmtId="0" fontId="29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2" fillId="0" borderId="0" xfId="0" applyFont="1"/>
    <xf numFmtId="0" fontId="32" fillId="0" borderId="0" xfId="0" applyFont="1" applyAlignment="1">
      <alignment vertical="center"/>
    </xf>
    <xf numFmtId="0" fontId="30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40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8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3" fillId="0" borderId="0" xfId="0" applyFont="1" applyAlignment="1">
      <alignment horizontal="center" vertical="center" wrapText="1"/>
    </xf>
    <xf numFmtId="0" fontId="42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center" vertical="center" wrapText="1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35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41" fillId="14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5" borderId="0" xfId="0" applyFont="1" applyFill="1" applyAlignment="1">
      <alignment horizontal="center" vertical="center" wrapText="1"/>
    </xf>
    <xf numFmtId="0" fontId="35" fillId="14" borderId="0" xfId="0" applyFont="1" applyFill="1" applyAlignment="1">
      <alignment horizontal="left" vertical="center"/>
    </xf>
    <xf numFmtId="0" fontId="35" fillId="14" borderId="0" xfId="0" applyFont="1" applyFill="1" applyAlignment="1">
      <alignment horizontal="left" vertical="center" wrapText="1"/>
    </xf>
    <xf numFmtId="0" fontId="35" fillId="14" borderId="0" xfId="0" applyFont="1" applyFill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20" fillId="16" borderId="0" xfId="0" applyFont="1" applyFill="1" applyAlignment="1">
      <alignment horizontal="center" vertical="center"/>
    </xf>
    <xf numFmtId="0" fontId="20" fillId="16" borderId="16" xfId="0" applyFont="1" applyFill="1" applyBorder="1" applyAlignment="1">
      <alignment horizontal="center" vertical="center"/>
    </xf>
    <xf numFmtId="0" fontId="0" fillId="0" borderId="6" xfId="0" applyFill="1" applyBorder="1" applyAlignment="1">
      <alignment vertical="center"/>
    </xf>
    <xf numFmtId="0" fontId="0" fillId="11" borderId="6" xfId="0" applyFill="1" applyBorder="1" applyAlignment="1">
      <alignment vertical="center"/>
    </xf>
    <xf numFmtId="0" fontId="44" fillId="0" borderId="3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11" fillId="0" borderId="0" xfId="0" applyFont="1" applyBorder="1" applyAlignment="1">
      <alignment horizontal="right" vertical="center" wrapText="1"/>
    </xf>
    <xf numFmtId="0" fontId="11" fillId="0" borderId="16" xfId="0" applyFont="1" applyBorder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0" fontId="12" fillId="0" borderId="0" xfId="0" quotePrefix="1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Fill="1" applyBorder="1" applyAlignment="1">
      <alignment horizontal="left" vertical="center"/>
    </xf>
    <xf numFmtId="0" fontId="0" fillId="0" borderId="0" xfId="0" applyFill="1" applyBorder="1" applyAlignment="1">
      <alignment vertical="center"/>
    </xf>
    <xf numFmtId="0" fontId="0" fillId="0" borderId="0" xfId="0" applyBorder="1"/>
    <xf numFmtId="0" fontId="0" fillId="0" borderId="23" xfId="0" applyFill="1" applyBorder="1" applyAlignment="1">
      <alignment vertical="center"/>
    </xf>
    <xf numFmtId="0" fontId="44" fillId="0" borderId="5" xfId="0" applyFont="1" applyFill="1" applyBorder="1" applyAlignment="1">
      <alignment vertical="center"/>
    </xf>
    <xf numFmtId="0" fontId="21" fillId="9" borderId="0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left"/>
    </xf>
    <xf numFmtId="0" fontId="0" fillId="0" borderId="24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6" xfId="0" quotePrefix="1" applyFill="1" applyBorder="1" applyAlignment="1">
      <alignment vertical="center"/>
    </xf>
    <xf numFmtId="0" fontId="34" fillId="0" borderId="0" xfId="0" applyFont="1" applyBorder="1" applyAlignment="1">
      <alignment horizontal="left" vertical="center"/>
    </xf>
    <xf numFmtId="0" fontId="34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36" fillId="0" borderId="24" xfId="0" quotePrefix="1" applyFont="1" applyBorder="1" applyAlignment="1">
      <alignment horizontal="right" vertical="center"/>
    </xf>
    <xf numFmtId="0" fontId="45" fillId="0" borderId="0" xfId="0" applyFont="1" applyAlignment="1">
      <alignment horizontal="right"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52928" y="3613645"/>
          <a:ext cx="2812755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52928" y="3835900"/>
          <a:ext cx="2812755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52928" y="4502665"/>
          <a:ext cx="2812755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52928" y="4724922"/>
          <a:ext cx="2812755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52928" y="4058155"/>
          <a:ext cx="2812755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52928" y="4280411"/>
          <a:ext cx="2812755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52928" y="3391390"/>
          <a:ext cx="2812755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52928" y="3169134"/>
          <a:ext cx="2812755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52928" y="2950510"/>
          <a:ext cx="2812755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3" dataDxfId="2">
  <tableColumns count="5">
    <tableColumn id="1" xr3:uid="{BE96BCF5-334D-4F20-8722-3145ABDC81EA}" name="Oggetto" dataDxfId="6"/>
    <tableColumn id="2" xr3:uid="{23DBEE6D-E19E-482F-A20A-3F3284C9D84B}" name="Qt." dataDxfId="5"/>
    <tableColumn id="3" xr3:uid="{CE44C6FC-0DBC-4316-AC79-C083711A35A2}" name="Costo" dataDxfId="4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195</v>
      </c>
      <c r="C1" s="40"/>
      <c r="D1" s="41"/>
      <c r="E1" s="42"/>
      <c r="F1" s="43"/>
      <c r="G1" s="44" t="s">
        <v>165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196</v>
      </c>
      <c r="C2" s="30"/>
      <c r="D2" s="112"/>
      <c r="E2" s="31" t="s">
        <v>33</v>
      </c>
      <c r="F2" s="32"/>
      <c r="G2" s="32" t="s">
        <v>196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3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2</v>
      </c>
      <c r="N4" s="1"/>
      <c r="O4" s="116" t="s">
        <v>9</v>
      </c>
      <c r="P4" s="83">
        <v>25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14</v>
      </c>
      <c r="B6" s="121" t="s">
        <v>2</v>
      </c>
      <c r="C6" s="175" t="s">
        <v>169</v>
      </c>
      <c r="D6" s="175"/>
      <c r="E6" s="175"/>
      <c r="F6" s="175"/>
      <c r="G6" s="175"/>
      <c r="H6" s="175"/>
      <c r="I6" s="175"/>
      <c r="J6" s="122">
        <v>1</v>
      </c>
      <c r="K6" s="122"/>
      <c r="M6" s="176" t="s">
        <v>51</v>
      </c>
      <c r="N6" s="176"/>
      <c r="O6" s="176"/>
      <c r="P6" s="56">
        <v>6</v>
      </c>
    </row>
    <row r="7" spans="1:16" ht="32.4" customHeight="1" x14ac:dyDescent="0.3">
      <c r="A7" s="55">
        <v>14</v>
      </c>
      <c r="B7" s="121" t="s">
        <v>3</v>
      </c>
      <c r="C7" s="175" t="s">
        <v>116</v>
      </c>
      <c r="D7" s="175"/>
      <c r="E7" s="175"/>
      <c r="F7" s="175"/>
      <c r="G7" s="175"/>
      <c r="H7" s="175"/>
      <c r="I7" s="175"/>
      <c r="J7" s="122">
        <v>1</v>
      </c>
      <c r="K7" s="122"/>
      <c r="M7" s="176" t="s">
        <v>11</v>
      </c>
      <c r="N7" s="176"/>
      <c r="O7" s="176"/>
      <c r="P7" s="56">
        <v>7</v>
      </c>
    </row>
    <row r="8" spans="1:16" ht="32.4" customHeight="1" x14ac:dyDescent="0.3">
      <c r="A8" s="55">
        <v>9</v>
      </c>
      <c r="B8" s="121" t="s">
        <v>4</v>
      </c>
      <c r="C8" s="175" t="s">
        <v>87</v>
      </c>
      <c r="D8" s="175"/>
      <c r="E8" s="175"/>
      <c r="F8" s="175"/>
      <c r="G8" s="175"/>
      <c r="H8" s="175"/>
      <c r="I8" s="175"/>
      <c r="J8" s="122">
        <v>0</v>
      </c>
      <c r="K8" s="122"/>
      <c r="M8" s="176" t="s">
        <v>14</v>
      </c>
      <c r="N8" s="176"/>
      <c r="O8" s="176"/>
      <c r="P8" s="56">
        <v>8</v>
      </c>
    </row>
    <row r="9" spans="1:16" ht="32.4" customHeight="1" x14ac:dyDescent="0.3">
      <c r="A9" s="55">
        <v>13</v>
      </c>
      <c r="B9" s="121" t="s">
        <v>5</v>
      </c>
      <c r="C9" s="175" t="s">
        <v>131</v>
      </c>
      <c r="D9" s="175"/>
      <c r="E9" s="175"/>
      <c r="F9" s="175"/>
      <c r="G9" s="175"/>
      <c r="H9" s="175"/>
      <c r="I9" s="175"/>
      <c r="J9" s="122">
        <v>1</v>
      </c>
      <c r="K9" s="122"/>
      <c r="M9" s="176" t="s">
        <v>12</v>
      </c>
      <c r="N9" s="176"/>
      <c r="O9" s="176"/>
      <c r="P9" s="56">
        <v>10</v>
      </c>
    </row>
    <row r="10" spans="1:16" ht="32.4" customHeight="1" x14ac:dyDescent="0.3">
      <c r="A10" s="55">
        <v>12</v>
      </c>
      <c r="B10" s="121" t="s">
        <v>6</v>
      </c>
      <c r="C10" s="175" t="s">
        <v>87</v>
      </c>
      <c r="D10" s="175"/>
      <c r="E10" s="175"/>
      <c r="F10" s="175"/>
      <c r="G10" s="175"/>
      <c r="H10" s="175"/>
      <c r="I10" s="175"/>
      <c r="J10" s="122">
        <v>0</v>
      </c>
      <c r="K10" s="122"/>
      <c r="M10" s="176" t="s">
        <v>13</v>
      </c>
      <c r="N10" s="176"/>
      <c r="O10" s="176"/>
      <c r="P10" s="56">
        <v>10</v>
      </c>
    </row>
    <row r="11" spans="1:16" ht="32.4" customHeight="1" x14ac:dyDescent="0.3">
      <c r="A11" s="55">
        <v>11</v>
      </c>
      <c r="B11" s="121" t="s">
        <v>7</v>
      </c>
      <c r="C11" s="175" t="s">
        <v>90</v>
      </c>
      <c r="D11" s="175"/>
      <c r="E11" s="175"/>
      <c r="F11" s="175"/>
      <c r="G11" s="175"/>
      <c r="H11" s="175"/>
      <c r="I11" s="175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171" t="s">
        <v>172</v>
      </c>
      <c r="B14" s="172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190</v>
      </c>
      <c r="P14" s="52"/>
    </row>
    <row r="15" spans="1:16" s="3" customFormat="1" ht="15.6" customHeight="1" x14ac:dyDescent="0.3">
      <c r="A15" s="173"/>
      <c r="B15" s="174"/>
      <c r="E15" s="126" t="s">
        <v>37</v>
      </c>
      <c r="F15" s="126"/>
      <c r="G15" s="127"/>
      <c r="H15" s="128" t="s">
        <v>72</v>
      </c>
      <c r="I15" s="129">
        <f>I14*3</f>
        <v>60</v>
      </c>
      <c r="J15" s="129">
        <f>K15*1.5</f>
        <v>18</v>
      </c>
      <c r="K15" s="129">
        <f t="shared" ref="K15:K18" si="0">I15/5</f>
        <v>12</v>
      </c>
      <c r="N15" s="3" t="s">
        <v>136</v>
      </c>
      <c r="P15" s="52"/>
    </row>
    <row r="16" spans="1:16" s="3" customFormat="1" ht="15.6" customHeight="1" x14ac:dyDescent="0.3">
      <c r="A16" s="173"/>
      <c r="B16" s="174"/>
      <c r="E16" s="123" t="s">
        <v>18</v>
      </c>
      <c r="F16" s="123"/>
      <c r="H16" s="94" t="s">
        <v>71</v>
      </c>
      <c r="I16" s="125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147</v>
      </c>
      <c r="J19" s="132" t="s">
        <v>69</v>
      </c>
      <c r="K19" s="132"/>
      <c r="N19" s="3" t="s">
        <v>197</v>
      </c>
      <c r="P19" s="52"/>
    </row>
    <row r="20" spans="1:16" s="3" customFormat="1" ht="15.6" customHeight="1" x14ac:dyDescent="0.3">
      <c r="A20" s="63" t="s">
        <v>238</v>
      </c>
      <c r="B20" s="37"/>
      <c r="N20" s="177" t="s">
        <v>179</v>
      </c>
      <c r="O20" s="177"/>
      <c r="P20" s="178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8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C25" s="161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C26" s="161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63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63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70"/>
      <c r="B31" s="18"/>
      <c r="E31" s="133"/>
      <c r="P31" s="57"/>
    </row>
    <row r="32" spans="1:16" ht="15.6" customHeight="1" x14ac:dyDescent="0.3">
      <c r="A32" s="71"/>
      <c r="B32" s="157"/>
      <c r="C32" s="161"/>
      <c r="E32" s="133"/>
      <c r="G32" s="125"/>
      <c r="I32" s="125"/>
      <c r="N32" s="24" t="s">
        <v>29</v>
      </c>
      <c r="O32" s="26"/>
      <c r="P32" s="54"/>
    </row>
    <row r="33" spans="1:27" ht="15.6" customHeight="1" x14ac:dyDescent="0.3">
      <c r="A33" s="72" t="s">
        <v>204</v>
      </c>
      <c r="B33" s="5"/>
      <c r="C33" s="161"/>
      <c r="N33" s="2" t="s">
        <v>54</v>
      </c>
      <c r="P33" s="57"/>
    </row>
    <row r="34" spans="1:27" ht="15.6" customHeight="1" x14ac:dyDescent="0.3">
      <c r="A34" s="72" t="s">
        <v>202</v>
      </c>
      <c r="B34" s="5"/>
      <c r="C34" s="161"/>
      <c r="N34" s="2" t="s">
        <v>205</v>
      </c>
      <c r="P34" s="57"/>
    </row>
    <row r="35" spans="1:27" x14ac:dyDescent="0.3">
      <c r="A35" s="72" t="s">
        <v>203</v>
      </c>
      <c r="B35" s="5"/>
      <c r="C35" s="161"/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179" t="s">
        <v>26</v>
      </c>
      <c r="N37" s="179"/>
      <c r="O37" s="24" t="s">
        <v>27</v>
      </c>
      <c r="P37" s="54"/>
    </row>
    <row r="38" spans="1:27" ht="18" x14ac:dyDescent="0.3">
      <c r="A38" s="72" t="s">
        <v>199</v>
      </c>
      <c r="B38" s="1" t="s">
        <v>23</v>
      </c>
      <c r="C38" s="141">
        <v>7</v>
      </c>
      <c r="D38" s="142">
        <f>C38+1</f>
        <v>8</v>
      </c>
      <c r="E38" s="141">
        <f t="shared" ref="E38:L38" si="2">D38+1</f>
        <v>9</v>
      </c>
      <c r="F38" s="142">
        <f t="shared" si="2"/>
        <v>10</v>
      </c>
      <c r="G38" s="141">
        <f t="shared" si="2"/>
        <v>11</v>
      </c>
      <c r="H38" s="142">
        <f t="shared" si="2"/>
        <v>12</v>
      </c>
      <c r="I38" s="141">
        <f t="shared" si="2"/>
        <v>13</v>
      </c>
      <c r="J38" s="142">
        <f t="shared" si="2"/>
        <v>14</v>
      </c>
      <c r="K38" s="141">
        <f t="shared" si="2"/>
        <v>15</v>
      </c>
      <c r="L38" s="142">
        <f t="shared" si="2"/>
        <v>16</v>
      </c>
      <c r="M38" s="180" t="s">
        <v>200</v>
      </c>
      <c r="N38" s="180"/>
      <c r="P38" s="57"/>
    </row>
    <row r="39" spans="1:27" ht="18" x14ac:dyDescent="0.3">
      <c r="A39" s="72" t="s">
        <v>24</v>
      </c>
      <c r="B39" s="1" t="s">
        <v>23</v>
      </c>
      <c r="C39" s="141">
        <v>7</v>
      </c>
      <c r="D39" s="142">
        <f t="shared" ref="D39:L40" si="3">C39+1</f>
        <v>8</v>
      </c>
      <c r="E39" s="141">
        <f t="shared" si="3"/>
        <v>9</v>
      </c>
      <c r="F39" s="142">
        <f t="shared" si="3"/>
        <v>10</v>
      </c>
      <c r="G39" s="141">
        <f t="shared" si="3"/>
        <v>11</v>
      </c>
      <c r="H39" s="142">
        <f t="shared" si="3"/>
        <v>12</v>
      </c>
      <c r="I39" s="141">
        <f t="shared" si="3"/>
        <v>13</v>
      </c>
      <c r="J39" s="142">
        <f t="shared" si="3"/>
        <v>14</v>
      </c>
      <c r="K39" s="141">
        <f t="shared" si="3"/>
        <v>15</v>
      </c>
      <c r="L39" s="142">
        <f t="shared" si="3"/>
        <v>16</v>
      </c>
      <c r="M39" s="181" t="s">
        <v>176</v>
      </c>
      <c r="N39" s="181"/>
      <c r="O39" s="3" t="s">
        <v>118</v>
      </c>
      <c r="P39" s="57"/>
      <c r="AA39"/>
    </row>
    <row r="40" spans="1:27" ht="18.600000000000001" thickBot="1" x14ac:dyDescent="0.35">
      <c r="A40" s="74" t="s">
        <v>53</v>
      </c>
      <c r="B40" s="75" t="s">
        <v>80</v>
      </c>
      <c r="C40" s="76">
        <v>6</v>
      </c>
      <c r="D40" s="77">
        <f t="shared" si="3"/>
        <v>7</v>
      </c>
      <c r="E40" s="76">
        <f t="shared" si="3"/>
        <v>8</v>
      </c>
      <c r="F40" s="77">
        <f t="shared" si="3"/>
        <v>9</v>
      </c>
      <c r="G40" s="76">
        <f t="shared" si="3"/>
        <v>10</v>
      </c>
      <c r="H40" s="77">
        <f t="shared" si="3"/>
        <v>11</v>
      </c>
      <c r="I40" s="76">
        <f t="shared" si="3"/>
        <v>12</v>
      </c>
      <c r="J40" s="77">
        <f t="shared" si="3"/>
        <v>13</v>
      </c>
      <c r="K40" s="76">
        <f t="shared" si="3"/>
        <v>14</v>
      </c>
      <c r="L40" s="77">
        <f t="shared" si="3"/>
        <v>15</v>
      </c>
      <c r="M40" s="182" t="s">
        <v>84</v>
      </c>
      <c r="N40" s="182"/>
      <c r="O40" s="78" t="s">
        <v>201</v>
      </c>
      <c r="P40" s="79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zoomScale="120" zoomScaleNormal="120" workbookViewId="0">
      <selection activeCell="M7" sqref="M7:O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181</v>
      </c>
      <c r="C1" s="40"/>
      <c r="D1" s="41"/>
      <c r="E1" s="42"/>
      <c r="F1" s="43"/>
      <c r="G1" s="44" t="s">
        <v>191</v>
      </c>
      <c r="H1" s="40"/>
      <c r="I1" s="43"/>
      <c r="J1" s="45"/>
      <c r="K1" s="46" t="s">
        <v>34</v>
      </c>
      <c r="L1" s="41"/>
      <c r="M1" s="41"/>
      <c r="N1" s="47" t="s">
        <v>183</v>
      </c>
      <c r="O1" s="40"/>
      <c r="P1" s="48"/>
    </row>
    <row r="2" spans="1:16" ht="20.399999999999999" customHeight="1" x14ac:dyDescent="0.3">
      <c r="A2" s="49" t="s">
        <v>94</v>
      </c>
      <c r="B2" s="30" t="s">
        <v>182</v>
      </c>
      <c r="C2" s="30"/>
      <c r="D2" s="112"/>
      <c r="E2" s="31" t="s">
        <v>33</v>
      </c>
      <c r="F2" s="32"/>
      <c r="G2" s="32" t="s">
        <v>182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4</v>
      </c>
      <c r="C4" s="1"/>
      <c r="E4" s="116" t="s">
        <v>46</v>
      </c>
      <c r="F4" s="117">
        <v>24</v>
      </c>
      <c r="G4" s="118" t="s">
        <v>110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30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16</v>
      </c>
      <c r="B6" s="121" t="s">
        <v>2</v>
      </c>
      <c r="C6" s="175" t="s">
        <v>115</v>
      </c>
      <c r="D6" s="175"/>
      <c r="E6" s="175"/>
      <c r="F6" s="175"/>
      <c r="G6" s="175"/>
      <c r="H6" s="175"/>
      <c r="I6" s="175"/>
      <c r="J6" s="122">
        <v>2</v>
      </c>
      <c r="K6" s="122"/>
      <c r="M6" s="176" t="s">
        <v>371</v>
      </c>
      <c r="N6" s="176"/>
      <c r="O6" s="176"/>
      <c r="P6" s="56">
        <v>10</v>
      </c>
    </row>
    <row r="7" spans="1:16" ht="32.4" customHeight="1" x14ac:dyDescent="0.3">
      <c r="A7" s="55">
        <v>12</v>
      </c>
      <c r="B7" s="121" t="s">
        <v>3</v>
      </c>
      <c r="C7" s="175" t="s">
        <v>87</v>
      </c>
      <c r="D7" s="175"/>
      <c r="E7" s="175"/>
      <c r="F7" s="175"/>
      <c r="G7" s="175"/>
      <c r="H7" s="175"/>
      <c r="I7" s="175"/>
      <c r="J7" s="122">
        <v>0</v>
      </c>
      <c r="K7" s="122"/>
      <c r="M7" s="176" t="s">
        <v>11</v>
      </c>
      <c r="N7" s="176"/>
      <c r="O7" s="176"/>
      <c r="P7" s="56">
        <v>11</v>
      </c>
    </row>
    <row r="8" spans="1:16" ht="32.4" customHeight="1" x14ac:dyDescent="0.3">
      <c r="A8" s="55">
        <v>13</v>
      </c>
      <c r="B8" s="121" t="s">
        <v>4</v>
      </c>
      <c r="C8" s="175" t="s">
        <v>130</v>
      </c>
      <c r="D8" s="175"/>
      <c r="E8" s="175"/>
      <c r="F8" s="175"/>
      <c r="G8" s="175"/>
      <c r="H8" s="175"/>
      <c r="I8" s="175"/>
      <c r="J8" s="122">
        <v>1</v>
      </c>
      <c r="K8" s="122"/>
      <c r="M8" s="176" t="s">
        <v>14</v>
      </c>
      <c r="N8" s="176"/>
      <c r="O8" s="176"/>
      <c r="P8" s="56">
        <v>11</v>
      </c>
    </row>
    <row r="9" spans="1:16" ht="32.4" customHeight="1" x14ac:dyDescent="0.3">
      <c r="A9" s="55">
        <v>17</v>
      </c>
      <c r="B9" s="121" t="s">
        <v>5</v>
      </c>
      <c r="C9" s="175" t="s">
        <v>131</v>
      </c>
      <c r="D9" s="175"/>
      <c r="E9" s="175"/>
      <c r="F9" s="175"/>
      <c r="G9" s="175"/>
      <c r="H9" s="175"/>
      <c r="I9" s="175"/>
      <c r="J9" s="122">
        <v>2</v>
      </c>
      <c r="K9" s="122"/>
      <c r="M9" s="176" t="s">
        <v>12</v>
      </c>
      <c r="N9" s="176"/>
      <c r="O9" s="176"/>
      <c r="P9" s="56">
        <v>13</v>
      </c>
    </row>
    <row r="10" spans="1:16" ht="32.4" customHeight="1" x14ac:dyDescent="0.3">
      <c r="A10" s="55">
        <v>11</v>
      </c>
      <c r="B10" s="121" t="s">
        <v>6</v>
      </c>
      <c r="C10" s="175" t="s">
        <v>87</v>
      </c>
      <c r="D10" s="175"/>
      <c r="E10" s="175"/>
      <c r="F10" s="175"/>
      <c r="G10" s="175"/>
      <c r="H10" s="175"/>
      <c r="I10" s="175"/>
      <c r="J10" s="122">
        <v>0</v>
      </c>
      <c r="K10" s="122"/>
      <c r="M10" s="176" t="s">
        <v>13</v>
      </c>
      <c r="N10" s="176"/>
      <c r="O10" s="176"/>
      <c r="P10" s="56">
        <v>12</v>
      </c>
    </row>
    <row r="11" spans="1:16" ht="32.4" customHeight="1" x14ac:dyDescent="0.3">
      <c r="A11" s="55">
        <v>10</v>
      </c>
      <c r="B11" s="121" t="s">
        <v>7</v>
      </c>
      <c r="C11" s="175" t="s">
        <v>90</v>
      </c>
      <c r="D11" s="175"/>
      <c r="E11" s="175"/>
      <c r="F11" s="175"/>
      <c r="G11" s="175"/>
      <c r="H11" s="175"/>
      <c r="I11" s="175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171" t="s">
        <v>172</v>
      </c>
      <c r="B14" s="172"/>
      <c r="E14" s="123" t="s">
        <v>21</v>
      </c>
      <c r="F14" s="123"/>
      <c r="H14" s="94" t="s">
        <v>71</v>
      </c>
      <c r="I14" s="125">
        <v>30</v>
      </c>
      <c r="J14" s="1">
        <f>K14*1.5</f>
        <v>9</v>
      </c>
      <c r="K14" s="1">
        <f>I14/5</f>
        <v>6</v>
      </c>
      <c r="N14" s="3" t="s">
        <v>190</v>
      </c>
      <c r="P14" s="52"/>
    </row>
    <row r="15" spans="1:16" s="3" customFormat="1" ht="15.6" customHeight="1" x14ac:dyDescent="0.3">
      <c r="A15" s="173"/>
      <c r="B15" s="174"/>
      <c r="E15" s="126" t="s">
        <v>37</v>
      </c>
      <c r="F15" s="126"/>
      <c r="G15" s="127"/>
      <c r="H15" s="128" t="s">
        <v>72</v>
      </c>
      <c r="I15" s="129">
        <f>I14*3</f>
        <v>90</v>
      </c>
      <c r="J15" s="129">
        <f>K15*1.5</f>
        <v>27</v>
      </c>
      <c r="K15" s="129">
        <f t="shared" ref="K15:K18" si="0">I15/5</f>
        <v>18</v>
      </c>
      <c r="N15" s="3" t="s">
        <v>136</v>
      </c>
      <c r="P15" s="52"/>
    </row>
    <row r="16" spans="1:16" s="3" customFormat="1" ht="15.6" customHeight="1" x14ac:dyDescent="0.3">
      <c r="A16" s="173"/>
      <c r="B16" s="174"/>
      <c r="E16" s="123" t="s">
        <v>18</v>
      </c>
      <c r="F16" s="123"/>
      <c r="H16" s="94" t="s">
        <v>71</v>
      </c>
      <c r="I16" s="125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15</v>
      </c>
      <c r="J17" s="129">
        <f>K17*1.5</f>
        <v>4.5</v>
      </c>
      <c r="K17" s="129">
        <f t="shared" si="0"/>
        <v>3</v>
      </c>
      <c r="N17" s="3" t="s">
        <v>113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193</v>
      </c>
      <c r="J19" s="132" t="s">
        <v>194</v>
      </c>
      <c r="K19" s="132"/>
      <c r="N19" s="3" t="s">
        <v>137</v>
      </c>
      <c r="P19" s="52"/>
    </row>
    <row r="20" spans="1:16" s="3" customFormat="1" ht="15.6" customHeight="1" x14ac:dyDescent="0.3">
      <c r="A20" s="63" t="s">
        <v>238</v>
      </c>
      <c r="B20" s="37"/>
      <c r="N20" s="177" t="s">
        <v>120</v>
      </c>
      <c r="O20" s="177"/>
      <c r="P20" s="178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N21" s="3" t="s">
        <v>179</v>
      </c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F22" s="3"/>
      <c r="N22" s="134"/>
      <c r="O22" s="134" t="s">
        <v>46</v>
      </c>
      <c r="P22" s="66">
        <v>12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59" t="s">
        <v>41</v>
      </c>
      <c r="B31" s="24"/>
      <c r="C31" s="29" t="s">
        <v>97</v>
      </c>
      <c r="D31" s="26"/>
      <c r="E31" s="29" t="s">
        <v>98</v>
      </c>
      <c r="F31" s="26"/>
      <c r="G31" s="29" t="s">
        <v>99</v>
      </c>
      <c r="H31" s="26"/>
      <c r="I31" s="29"/>
      <c r="J31" s="26"/>
      <c r="K31" s="26"/>
      <c r="N31" s="24" t="s">
        <v>29</v>
      </c>
      <c r="O31" s="26"/>
      <c r="P31" s="54"/>
    </row>
    <row r="32" spans="1:16" x14ac:dyDescent="0.3">
      <c r="A32" s="80" t="s">
        <v>30</v>
      </c>
      <c r="B32" s="2" t="s">
        <v>188</v>
      </c>
      <c r="N32" s="2" t="s">
        <v>184</v>
      </c>
      <c r="P32" s="57"/>
    </row>
    <row r="33" spans="1:27" x14ac:dyDescent="0.3">
      <c r="A33" s="80" t="s">
        <v>31</v>
      </c>
      <c r="B33" s="2" t="s">
        <v>189</v>
      </c>
      <c r="N33" s="2" t="s">
        <v>32</v>
      </c>
      <c r="P33" s="57"/>
    </row>
    <row r="34" spans="1:27" x14ac:dyDescent="0.3">
      <c r="A34" s="80" t="s">
        <v>38</v>
      </c>
      <c r="B34" s="2" t="s">
        <v>187</v>
      </c>
      <c r="N34" s="2" t="s">
        <v>192</v>
      </c>
      <c r="P34" s="57"/>
    </row>
    <row r="35" spans="1:27" x14ac:dyDescent="0.3">
      <c r="A35" s="58"/>
      <c r="N35" s="2" t="s">
        <v>185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179" t="s">
        <v>26</v>
      </c>
      <c r="N37" s="179"/>
      <c r="O37" s="24" t="s">
        <v>27</v>
      </c>
      <c r="P37" s="54"/>
    </row>
    <row r="38" spans="1:27" ht="18" x14ac:dyDescent="0.3">
      <c r="A38" s="72" t="s">
        <v>148</v>
      </c>
      <c r="B38" s="1" t="s">
        <v>23</v>
      </c>
      <c r="C38" s="141">
        <v>6</v>
      </c>
      <c r="D38" s="142">
        <f>C38+1</f>
        <v>7</v>
      </c>
      <c r="E38" s="141">
        <f t="shared" ref="E38:L38" si="2">D38+1</f>
        <v>8</v>
      </c>
      <c r="F38" s="142">
        <f t="shared" si="2"/>
        <v>9</v>
      </c>
      <c r="G38" s="141">
        <f t="shared" si="2"/>
        <v>10</v>
      </c>
      <c r="H38" s="142">
        <f t="shared" si="2"/>
        <v>11</v>
      </c>
      <c r="I38" s="141">
        <f t="shared" si="2"/>
        <v>12</v>
      </c>
      <c r="J38" s="142">
        <f t="shared" si="2"/>
        <v>13</v>
      </c>
      <c r="K38" s="141">
        <f t="shared" si="2"/>
        <v>14</v>
      </c>
      <c r="L38" s="142">
        <f t="shared" si="2"/>
        <v>15</v>
      </c>
      <c r="M38" s="180" t="s">
        <v>186</v>
      </c>
      <c r="N38" s="180"/>
      <c r="P38" s="57"/>
    </row>
    <row r="39" spans="1:27" ht="18" x14ac:dyDescent="0.3">
      <c r="A39" s="72" t="s">
        <v>24</v>
      </c>
      <c r="B39" s="1" t="s">
        <v>23</v>
      </c>
      <c r="C39" s="141">
        <v>6</v>
      </c>
      <c r="D39" s="142">
        <f t="shared" ref="D39:L40" si="3">C39+1</f>
        <v>7</v>
      </c>
      <c r="E39" s="141">
        <f t="shared" si="3"/>
        <v>8</v>
      </c>
      <c r="F39" s="142">
        <f t="shared" si="3"/>
        <v>9</v>
      </c>
      <c r="G39" s="141">
        <f t="shared" si="3"/>
        <v>10</v>
      </c>
      <c r="H39" s="142">
        <f t="shared" si="3"/>
        <v>11</v>
      </c>
      <c r="I39" s="141">
        <f t="shared" si="3"/>
        <v>12</v>
      </c>
      <c r="J39" s="142">
        <f t="shared" si="3"/>
        <v>13</v>
      </c>
      <c r="K39" s="141">
        <f t="shared" si="3"/>
        <v>14</v>
      </c>
      <c r="L39" s="142">
        <f t="shared" si="3"/>
        <v>15</v>
      </c>
      <c r="M39" s="181" t="s">
        <v>108</v>
      </c>
      <c r="N39" s="181"/>
      <c r="O39" s="3"/>
      <c r="P39" s="57"/>
      <c r="AA39"/>
    </row>
    <row r="40" spans="1:27" ht="18.600000000000001" thickBot="1" x14ac:dyDescent="0.35">
      <c r="A40" s="74" t="s">
        <v>25</v>
      </c>
      <c r="B40" s="75" t="s">
        <v>109</v>
      </c>
      <c r="C40" s="76">
        <v>8</v>
      </c>
      <c r="D40" s="77">
        <f t="shared" si="3"/>
        <v>9</v>
      </c>
      <c r="E40" s="76">
        <f t="shared" si="3"/>
        <v>10</v>
      </c>
      <c r="F40" s="77">
        <f t="shared" si="3"/>
        <v>11</v>
      </c>
      <c r="G40" s="76">
        <f t="shared" si="3"/>
        <v>12</v>
      </c>
      <c r="H40" s="77">
        <f t="shared" si="3"/>
        <v>13</v>
      </c>
      <c r="I40" s="76">
        <f t="shared" si="3"/>
        <v>14</v>
      </c>
      <c r="J40" s="77">
        <f t="shared" si="3"/>
        <v>15</v>
      </c>
      <c r="K40" s="76">
        <f t="shared" si="3"/>
        <v>16</v>
      </c>
      <c r="L40" s="77">
        <f t="shared" si="3"/>
        <v>17</v>
      </c>
      <c r="M40" s="182" t="s">
        <v>28</v>
      </c>
      <c r="N40" s="182"/>
      <c r="O40" s="78"/>
      <c r="P40" s="79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166</v>
      </c>
      <c r="C1" s="40"/>
      <c r="D1" s="41"/>
      <c r="E1" s="42"/>
      <c r="F1" s="43"/>
      <c r="G1" s="44" t="s">
        <v>180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167</v>
      </c>
      <c r="C2" s="30"/>
      <c r="D2" s="112"/>
      <c r="E2" s="31" t="s">
        <v>33</v>
      </c>
      <c r="F2" s="32"/>
      <c r="G2" s="32" t="s">
        <v>167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2</v>
      </c>
      <c r="C4" s="1"/>
      <c r="E4" s="116" t="s">
        <v>46</v>
      </c>
      <c r="F4" s="117">
        <v>22</v>
      </c>
      <c r="G4" s="118" t="s">
        <v>168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44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13</v>
      </c>
      <c r="B6" s="121" t="s">
        <v>2</v>
      </c>
      <c r="C6" s="175" t="s">
        <v>169</v>
      </c>
      <c r="D6" s="175"/>
      <c r="E6" s="175"/>
      <c r="F6" s="175"/>
      <c r="G6" s="175"/>
      <c r="H6" s="175"/>
      <c r="I6" s="175"/>
      <c r="J6" s="122">
        <v>1</v>
      </c>
      <c r="K6" s="122"/>
      <c r="L6" s="211" t="s">
        <v>372</v>
      </c>
      <c r="M6" s="176" t="s">
        <v>371</v>
      </c>
      <c r="N6" s="176"/>
      <c r="O6" s="176"/>
      <c r="P6" s="56">
        <v>6</v>
      </c>
    </row>
    <row r="7" spans="1:16" ht="32.4" customHeight="1" x14ac:dyDescent="0.3">
      <c r="A7" s="55">
        <v>10</v>
      </c>
      <c r="B7" s="121" t="s">
        <v>3</v>
      </c>
      <c r="C7" s="175" t="s">
        <v>87</v>
      </c>
      <c r="D7" s="175"/>
      <c r="E7" s="175"/>
      <c r="F7" s="175"/>
      <c r="G7" s="175"/>
      <c r="H7" s="175"/>
      <c r="I7" s="175"/>
      <c r="J7" s="122">
        <v>0</v>
      </c>
      <c r="K7" s="122"/>
      <c r="M7" s="176" t="s">
        <v>11</v>
      </c>
      <c r="N7" s="176"/>
      <c r="O7" s="176"/>
      <c r="P7" s="56">
        <v>6</v>
      </c>
    </row>
    <row r="8" spans="1:16" ht="32.4" customHeight="1" x14ac:dyDescent="0.3">
      <c r="A8" s="55">
        <v>16</v>
      </c>
      <c r="B8" s="121" t="s">
        <v>4</v>
      </c>
      <c r="C8" s="175" t="s">
        <v>130</v>
      </c>
      <c r="D8" s="175"/>
      <c r="E8" s="175"/>
      <c r="F8" s="175"/>
      <c r="G8" s="175"/>
      <c r="H8" s="175"/>
      <c r="I8" s="175"/>
      <c r="J8" s="122">
        <v>2</v>
      </c>
      <c r="K8" s="122"/>
      <c r="M8" s="176" t="s">
        <v>14</v>
      </c>
      <c r="N8" s="176"/>
      <c r="O8" s="176"/>
      <c r="P8" s="56">
        <v>7</v>
      </c>
    </row>
    <row r="9" spans="1:16" ht="32.4" customHeight="1" x14ac:dyDescent="0.3">
      <c r="A9" s="55">
        <v>10</v>
      </c>
      <c r="B9" s="121" t="s">
        <v>5</v>
      </c>
      <c r="C9" s="175" t="s">
        <v>170</v>
      </c>
      <c r="D9" s="175"/>
      <c r="E9" s="175"/>
      <c r="F9" s="175"/>
      <c r="G9" s="175"/>
      <c r="H9" s="175"/>
      <c r="I9" s="175"/>
      <c r="J9" s="122">
        <v>0</v>
      </c>
      <c r="K9" s="122"/>
      <c r="M9" s="176" t="s">
        <v>12</v>
      </c>
      <c r="N9" s="176"/>
      <c r="O9" s="176"/>
      <c r="P9" s="56">
        <v>10</v>
      </c>
    </row>
    <row r="10" spans="1:16" ht="32.4" customHeight="1" x14ac:dyDescent="0.3">
      <c r="A10" s="55">
        <v>13</v>
      </c>
      <c r="B10" s="121" t="s">
        <v>6</v>
      </c>
      <c r="C10" s="175" t="s">
        <v>171</v>
      </c>
      <c r="D10" s="175"/>
      <c r="E10" s="175"/>
      <c r="F10" s="175"/>
      <c r="G10" s="175"/>
      <c r="H10" s="175"/>
      <c r="I10" s="175"/>
      <c r="J10" s="122">
        <v>1</v>
      </c>
      <c r="K10" s="122"/>
      <c r="M10" s="176" t="s">
        <v>13</v>
      </c>
      <c r="N10" s="176"/>
      <c r="O10" s="176"/>
      <c r="P10" s="56">
        <v>9</v>
      </c>
    </row>
    <row r="11" spans="1:16" ht="32.4" customHeight="1" x14ac:dyDescent="0.3">
      <c r="A11" s="55">
        <v>11</v>
      </c>
      <c r="B11" s="121" t="s">
        <v>7</v>
      </c>
      <c r="C11" s="175" t="s">
        <v>90</v>
      </c>
      <c r="D11" s="175"/>
      <c r="E11" s="175"/>
      <c r="F11" s="175"/>
      <c r="G11" s="175"/>
      <c r="H11" s="175"/>
      <c r="I11" s="175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9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171" t="s">
        <v>172</v>
      </c>
      <c r="B14" s="172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57</v>
      </c>
      <c r="P14" s="52"/>
    </row>
    <row r="15" spans="1:16" s="3" customFormat="1" ht="15.6" customHeight="1" x14ac:dyDescent="0.3">
      <c r="A15" s="173"/>
      <c r="B15" s="174"/>
      <c r="E15" s="126" t="s">
        <v>37</v>
      </c>
      <c r="F15" s="126"/>
      <c r="G15" s="127"/>
      <c r="H15" s="128" t="s">
        <v>72</v>
      </c>
      <c r="I15" s="129">
        <v>60</v>
      </c>
      <c r="J15" s="129">
        <f>K15*1.5</f>
        <v>18</v>
      </c>
      <c r="K15" s="129">
        <f t="shared" ref="K15:K18" si="0">I15/5</f>
        <v>12</v>
      </c>
      <c r="N15" s="3" t="s">
        <v>136</v>
      </c>
      <c r="P15" s="52"/>
    </row>
    <row r="16" spans="1:16" s="3" customFormat="1" ht="15.6" customHeight="1" x14ac:dyDescent="0.3">
      <c r="A16" s="173"/>
      <c r="B16" s="174"/>
      <c r="E16" s="123" t="s">
        <v>18</v>
      </c>
      <c r="F16" s="123"/>
      <c r="H16" s="94" t="s">
        <v>71</v>
      </c>
      <c r="I16" s="125">
        <v>60</v>
      </c>
      <c r="J16" s="1">
        <f>K16*1.5</f>
        <v>18</v>
      </c>
      <c r="K16" s="1">
        <f t="shared" si="0"/>
        <v>12</v>
      </c>
      <c r="N16" s="3" t="s">
        <v>152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v>10</v>
      </c>
      <c r="J18" s="1">
        <f>K18*1.5</f>
        <v>3</v>
      </c>
      <c r="K18" s="1">
        <f t="shared" si="0"/>
        <v>2</v>
      </c>
      <c r="N18" s="3" t="s">
        <v>178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70</v>
      </c>
      <c r="J19" s="132" t="s">
        <v>69</v>
      </c>
      <c r="K19" s="132"/>
      <c r="N19" s="3" t="s">
        <v>179</v>
      </c>
      <c r="P19" s="52"/>
    </row>
    <row r="20" spans="1:16" s="3" customFormat="1" ht="15.6" customHeight="1" x14ac:dyDescent="0.3">
      <c r="A20" s="63" t="s">
        <v>238</v>
      </c>
      <c r="B20" s="37"/>
      <c r="N20" s="177" t="s">
        <v>120</v>
      </c>
      <c r="O20" s="177"/>
      <c r="P20" s="178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11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81" t="s">
        <v>125</v>
      </c>
      <c r="B31" s="157"/>
      <c r="C31" s="157" t="s">
        <v>8</v>
      </c>
      <c r="E31" s="133"/>
      <c r="N31" s="24" t="s">
        <v>29</v>
      </c>
      <c r="O31" s="26"/>
      <c r="P31" s="54"/>
    </row>
    <row r="32" spans="1:16" ht="15.6" x14ac:dyDescent="0.3">
      <c r="A32" s="71" t="s">
        <v>124</v>
      </c>
      <c r="B32" s="5"/>
      <c r="C32" s="158">
        <v>2</v>
      </c>
      <c r="E32" s="133"/>
      <c r="N32" s="2" t="s">
        <v>54</v>
      </c>
      <c r="P32" s="57"/>
    </row>
    <row r="33" spans="1:27" x14ac:dyDescent="0.3">
      <c r="A33" s="71" t="s">
        <v>122</v>
      </c>
      <c r="B33" s="5"/>
      <c r="C33" s="5">
        <v>3</v>
      </c>
      <c r="E33" s="133"/>
      <c r="N33" s="2" t="s">
        <v>32</v>
      </c>
      <c r="P33" s="57"/>
    </row>
    <row r="34" spans="1:27" x14ac:dyDescent="0.3">
      <c r="A34" s="71" t="s">
        <v>149</v>
      </c>
      <c r="B34" s="5"/>
      <c r="C34" s="5">
        <v>3</v>
      </c>
      <c r="N34" s="2" t="s">
        <v>55</v>
      </c>
      <c r="P34" s="57"/>
    </row>
    <row r="35" spans="1:27" x14ac:dyDescent="0.3">
      <c r="A35" s="71" t="s">
        <v>24</v>
      </c>
      <c r="B35" s="5"/>
      <c r="C35" s="5">
        <v>3</v>
      </c>
      <c r="N35" s="2" t="s">
        <v>173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179" t="s">
        <v>26</v>
      </c>
      <c r="N37" s="179"/>
      <c r="O37" s="24" t="s">
        <v>27</v>
      </c>
      <c r="P37" s="54"/>
    </row>
    <row r="38" spans="1:27" ht="18" x14ac:dyDescent="0.3">
      <c r="A38" s="72" t="s">
        <v>106</v>
      </c>
      <c r="B38" s="1" t="s">
        <v>223</v>
      </c>
      <c r="C38" s="141">
        <v>7</v>
      </c>
      <c r="D38" s="142">
        <f>C38+1</f>
        <v>8</v>
      </c>
      <c r="E38" s="141">
        <f t="shared" ref="E38:L38" si="2">D38+1</f>
        <v>9</v>
      </c>
      <c r="F38" s="142">
        <f t="shared" si="2"/>
        <v>10</v>
      </c>
      <c r="G38" s="141">
        <f t="shared" si="2"/>
        <v>11</v>
      </c>
      <c r="H38" s="142">
        <f t="shared" si="2"/>
        <v>12</v>
      </c>
      <c r="I38" s="141">
        <f t="shared" si="2"/>
        <v>13</v>
      </c>
      <c r="J38" s="142">
        <f t="shared" si="2"/>
        <v>14</v>
      </c>
      <c r="K38" s="141">
        <f t="shared" si="2"/>
        <v>15</v>
      </c>
      <c r="L38" s="142">
        <f t="shared" si="2"/>
        <v>16</v>
      </c>
      <c r="M38" s="180" t="s">
        <v>174</v>
      </c>
      <c r="N38" s="180"/>
      <c r="O38" s="2" t="s">
        <v>177</v>
      </c>
      <c r="P38" s="57"/>
    </row>
    <row r="39" spans="1:27" ht="18" x14ac:dyDescent="0.3">
      <c r="A39" s="72" t="s">
        <v>24</v>
      </c>
      <c r="B39" s="1" t="s">
        <v>23</v>
      </c>
      <c r="C39" s="141">
        <v>7</v>
      </c>
      <c r="D39" s="142">
        <f t="shared" ref="D39:L40" si="3">C39+1</f>
        <v>8</v>
      </c>
      <c r="E39" s="141">
        <f t="shared" si="3"/>
        <v>9</v>
      </c>
      <c r="F39" s="142">
        <f t="shared" si="3"/>
        <v>10</v>
      </c>
      <c r="G39" s="141">
        <f t="shared" si="3"/>
        <v>11</v>
      </c>
      <c r="H39" s="142">
        <f t="shared" si="3"/>
        <v>12</v>
      </c>
      <c r="I39" s="141">
        <f t="shared" si="3"/>
        <v>13</v>
      </c>
      <c r="J39" s="142">
        <f t="shared" si="3"/>
        <v>14</v>
      </c>
      <c r="K39" s="141">
        <f t="shared" si="3"/>
        <v>15</v>
      </c>
      <c r="L39" s="142">
        <f t="shared" si="3"/>
        <v>16</v>
      </c>
      <c r="M39" s="181" t="s">
        <v>176</v>
      </c>
      <c r="N39" s="181"/>
      <c r="O39" s="3" t="s">
        <v>118</v>
      </c>
      <c r="P39" s="57"/>
      <c r="AA39"/>
    </row>
    <row r="40" spans="1:27" ht="18.600000000000001" thickBot="1" x14ac:dyDescent="0.35">
      <c r="A40" s="74" t="s">
        <v>149</v>
      </c>
      <c r="B40" s="75" t="s">
        <v>175</v>
      </c>
      <c r="C40" s="76">
        <v>8</v>
      </c>
      <c r="D40" s="77">
        <f t="shared" si="3"/>
        <v>9</v>
      </c>
      <c r="E40" s="76">
        <f t="shared" si="3"/>
        <v>10</v>
      </c>
      <c r="F40" s="77">
        <f t="shared" si="3"/>
        <v>11</v>
      </c>
      <c r="G40" s="76">
        <f t="shared" si="3"/>
        <v>12</v>
      </c>
      <c r="H40" s="77">
        <f t="shared" si="3"/>
        <v>13</v>
      </c>
      <c r="I40" s="76">
        <f t="shared" si="3"/>
        <v>14</v>
      </c>
      <c r="J40" s="77">
        <f t="shared" si="3"/>
        <v>15</v>
      </c>
      <c r="K40" s="76">
        <f t="shared" si="3"/>
        <v>16</v>
      </c>
      <c r="L40" s="77">
        <f t="shared" si="3"/>
        <v>17</v>
      </c>
      <c r="M40" s="182" t="s">
        <v>28</v>
      </c>
      <c r="N40" s="182"/>
      <c r="O40" s="78" t="s">
        <v>119</v>
      </c>
      <c r="P40" s="79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146</v>
      </c>
      <c r="C1" s="40"/>
      <c r="D1" s="41"/>
      <c r="E1" s="42"/>
      <c r="F1" s="43"/>
      <c r="G1" s="44" t="s">
        <v>165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145</v>
      </c>
      <c r="H2" s="32"/>
      <c r="I2" s="33" t="s">
        <v>102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4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2</v>
      </c>
      <c r="N4" s="1"/>
      <c r="O4" s="116" t="s">
        <v>9</v>
      </c>
      <c r="P4" s="83">
        <v>26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9</v>
      </c>
      <c r="B6" s="121" t="s">
        <v>2</v>
      </c>
      <c r="C6" s="175" t="s">
        <v>85</v>
      </c>
      <c r="D6" s="175"/>
      <c r="E6" s="175"/>
      <c r="F6" s="175"/>
      <c r="G6" s="175"/>
      <c r="H6" s="175"/>
      <c r="I6" s="175"/>
      <c r="J6" s="122">
        <v>0</v>
      </c>
      <c r="K6" s="122"/>
      <c r="L6" s="211" t="s">
        <v>373</v>
      </c>
      <c r="M6" s="176" t="s">
        <v>51</v>
      </c>
      <c r="N6" s="176"/>
      <c r="O6" s="176"/>
      <c r="P6" s="56">
        <v>12</v>
      </c>
    </row>
    <row r="7" spans="1:16" ht="32.4" customHeight="1" x14ac:dyDescent="0.3">
      <c r="A7" s="55">
        <v>16</v>
      </c>
      <c r="B7" s="121" t="s">
        <v>3</v>
      </c>
      <c r="C7" s="175" t="s">
        <v>116</v>
      </c>
      <c r="D7" s="175"/>
      <c r="E7" s="175"/>
      <c r="F7" s="175"/>
      <c r="G7" s="175"/>
      <c r="H7" s="175"/>
      <c r="I7" s="175"/>
      <c r="J7" s="122">
        <v>2</v>
      </c>
      <c r="K7" s="122"/>
      <c r="M7" s="176" t="s">
        <v>11</v>
      </c>
      <c r="N7" s="176"/>
      <c r="O7" s="176"/>
      <c r="P7" s="56">
        <v>14</v>
      </c>
    </row>
    <row r="8" spans="1:16" ht="32.4" customHeight="1" x14ac:dyDescent="0.3">
      <c r="A8" s="55">
        <v>13</v>
      </c>
      <c r="B8" s="121" t="s">
        <v>4</v>
      </c>
      <c r="C8" s="175" t="s">
        <v>130</v>
      </c>
      <c r="D8" s="175"/>
      <c r="E8" s="175"/>
      <c r="F8" s="175"/>
      <c r="G8" s="175"/>
      <c r="H8" s="175"/>
      <c r="I8" s="175"/>
      <c r="J8" s="122">
        <v>1</v>
      </c>
      <c r="K8" s="122"/>
      <c r="M8" s="176" t="s">
        <v>14</v>
      </c>
      <c r="N8" s="176"/>
      <c r="O8" s="176"/>
      <c r="P8" s="56">
        <v>12</v>
      </c>
    </row>
    <row r="9" spans="1:16" ht="32.4" customHeight="1" x14ac:dyDescent="0.3">
      <c r="A9" s="55">
        <v>14</v>
      </c>
      <c r="B9" s="121" t="s">
        <v>5</v>
      </c>
      <c r="C9" s="175" t="s">
        <v>131</v>
      </c>
      <c r="D9" s="175"/>
      <c r="E9" s="175"/>
      <c r="F9" s="175"/>
      <c r="G9" s="175"/>
      <c r="H9" s="175"/>
      <c r="I9" s="175"/>
      <c r="J9" s="122">
        <v>1</v>
      </c>
      <c r="K9" s="122"/>
      <c r="M9" s="176" t="s">
        <v>12</v>
      </c>
      <c r="N9" s="176"/>
      <c r="O9" s="176"/>
      <c r="P9" s="56">
        <v>16</v>
      </c>
    </row>
    <row r="10" spans="1:16" ht="32.4" customHeight="1" x14ac:dyDescent="0.3">
      <c r="A10" s="55">
        <v>6</v>
      </c>
      <c r="B10" s="121" t="s">
        <v>6</v>
      </c>
      <c r="C10" s="175" t="s">
        <v>117</v>
      </c>
      <c r="D10" s="175"/>
      <c r="E10" s="175"/>
      <c r="F10" s="175"/>
      <c r="G10" s="175"/>
      <c r="H10" s="175"/>
      <c r="I10" s="175"/>
      <c r="J10" s="122">
        <v>-1</v>
      </c>
      <c r="K10" s="122"/>
      <c r="M10" s="176" t="s">
        <v>13</v>
      </c>
      <c r="N10" s="176"/>
      <c r="O10" s="176"/>
      <c r="P10" s="56">
        <v>14</v>
      </c>
    </row>
    <row r="11" spans="1:16" ht="32.4" customHeight="1" x14ac:dyDescent="0.3">
      <c r="A11" s="55">
        <v>10</v>
      </c>
      <c r="B11" s="121" t="s">
        <v>7</v>
      </c>
      <c r="C11" s="175" t="s">
        <v>90</v>
      </c>
      <c r="D11" s="175"/>
      <c r="E11" s="175"/>
      <c r="F11" s="175"/>
      <c r="G11" s="175"/>
      <c r="H11" s="175"/>
      <c r="I11" s="175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171" t="s">
        <v>172</v>
      </c>
      <c r="B14" s="172"/>
      <c r="E14" s="123" t="s">
        <v>21</v>
      </c>
      <c r="F14" s="123"/>
      <c r="H14" s="94" t="s">
        <v>71</v>
      </c>
      <c r="I14" s="125">
        <v>40</v>
      </c>
      <c r="J14" s="1">
        <f>K14*1.5</f>
        <v>12</v>
      </c>
      <c r="K14" s="1">
        <f>I14/5</f>
        <v>8</v>
      </c>
      <c r="N14" s="3" t="s">
        <v>151</v>
      </c>
      <c r="P14" s="52"/>
    </row>
    <row r="15" spans="1:16" s="3" customFormat="1" ht="15.6" customHeight="1" x14ac:dyDescent="0.3">
      <c r="A15" s="173"/>
      <c r="B15" s="174"/>
      <c r="E15" s="126" t="s">
        <v>37</v>
      </c>
      <c r="F15" s="126"/>
      <c r="G15" s="127"/>
      <c r="H15" s="128" t="s">
        <v>72</v>
      </c>
      <c r="I15" s="129">
        <f>I14*3</f>
        <v>120</v>
      </c>
      <c r="J15" s="129">
        <f>K15*1.5</f>
        <v>36</v>
      </c>
      <c r="K15" s="129">
        <f t="shared" ref="K15:K18" si="0">I15/5</f>
        <v>24</v>
      </c>
      <c r="N15" s="3" t="s">
        <v>136</v>
      </c>
      <c r="P15" s="52"/>
    </row>
    <row r="16" spans="1:16" s="3" customFormat="1" ht="15.6" customHeight="1" x14ac:dyDescent="0.3">
      <c r="A16" s="173"/>
      <c r="B16" s="174"/>
      <c r="E16" s="123" t="s">
        <v>18</v>
      </c>
      <c r="F16" s="123"/>
      <c r="H16" s="94" t="s">
        <v>71</v>
      </c>
      <c r="I16" s="125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52"/>
    </row>
    <row r="17" spans="1:21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20</v>
      </c>
      <c r="J17" s="129">
        <f>K17*1.5</f>
        <v>6</v>
      </c>
      <c r="K17" s="129">
        <f t="shared" si="0"/>
        <v>4</v>
      </c>
      <c r="N17" s="3" t="s">
        <v>60</v>
      </c>
      <c r="P17" s="52"/>
    </row>
    <row r="18" spans="1:21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52"/>
    </row>
    <row r="19" spans="1:21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134</v>
      </c>
      <c r="J19" s="132" t="s">
        <v>133</v>
      </c>
      <c r="K19" s="132"/>
      <c r="N19" s="3" t="s">
        <v>154</v>
      </c>
      <c r="P19" s="52"/>
    </row>
    <row r="20" spans="1:21" s="3" customFormat="1" ht="15.6" customHeight="1" x14ac:dyDescent="0.3">
      <c r="A20" s="63" t="s">
        <v>238</v>
      </c>
      <c r="B20" s="37"/>
      <c r="N20" s="177" t="s">
        <v>120</v>
      </c>
      <c r="O20" s="177"/>
      <c r="P20" s="178"/>
    </row>
    <row r="21" spans="1:21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21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9</v>
      </c>
      <c r="U22" s="20"/>
    </row>
    <row r="23" spans="1:21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  <c r="U23" s="22"/>
    </row>
    <row r="24" spans="1:21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  <c r="T24" s="20"/>
      <c r="U24" s="20"/>
    </row>
    <row r="25" spans="1:21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  <c r="T25" s="20"/>
      <c r="U25" s="20"/>
    </row>
    <row r="26" spans="1:21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  <c r="T26" s="23"/>
      <c r="U26" s="23"/>
    </row>
    <row r="27" spans="1:21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  <c r="T27" s="23"/>
      <c r="U27" s="23"/>
    </row>
    <row r="28" spans="1:21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  <c r="T28" s="23"/>
      <c r="U28" s="23"/>
    </row>
    <row r="29" spans="1:21" ht="15.6" customHeight="1" x14ac:dyDescent="0.3">
      <c r="A29" s="51" t="s">
        <v>157</v>
      </c>
      <c r="C29" s="161">
        <v>0.45</v>
      </c>
      <c r="E29" s="133" t="str">
        <f>'Cleric A'!D29</f>
        <v>Distanza:   corta +1, lunga -1</v>
      </c>
      <c r="N29" s="139"/>
      <c r="O29" s="134" t="s">
        <v>46</v>
      </c>
      <c r="P29" s="66">
        <v>5</v>
      </c>
      <c r="T29" s="23"/>
      <c r="U29" s="23"/>
    </row>
    <row r="30" spans="1:21" x14ac:dyDescent="0.3">
      <c r="A30" s="51" t="s">
        <v>162</v>
      </c>
      <c r="C30" s="161">
        <v>0.4</v>
      </c>
      <c r="E30" s="133" t="str">
        <f>'Cleric A'!D30</f>
        <v>Copertura vs area: Parz. +2 TS, Quasi tot. +4 TS</v>
      </c>
      <c r="P30" s="57"/>
      <c r="T30" s="23"/>
      <c r="U30" s="23"/>
    </row>
    <row r="31" spans="1:21" ht="15.6" customHeight="1" x14ac:dyDescent="0.3">
      <c r="A31" s="71" t="s">
        <v>158</v>
      </c>
      <c r="B31" s="157"/>
      <c r="C31" s="161">
        <v>0.45</v>
      </c>
      <c r="E31" s="133"/>
      <c r="P31" s="57"/>
      <c r="T31" s="23"/>
      <c r="U31" s="23"/>
    </row>
    <row r="32" spans="1:21" x14ac:dyDescent="0.3">
      <c r="A32" s="71" t="s">
        <v>159</v>
      </c>
      <c r="B32" s="5"/>
      <c r="C32" s="161">
        <v>0.45</v>
      </c>
      <c r="E32" s="133"/>
      <c r="N32" s="24" t="s">
        <v>29</v>
      </c>
      <c r="O32" s="26"/>
      <c r="P32" s="54"/>
    </row>
    <row r="33" spans="1:27" x14ac:dyDescent="0.3">
      <c r="A33" s="71" t="s">
        <v>160</v>
      </c>
      <c r="B33" s="5"/>
      <c r="C33" s="161">
        <v>0.92</v>
      </c>
      <c r="E33" s="133"/>
      <c r="N33" s="2" t="s">
        <v>54</v>
      </c>
      <c r="P33" s="57"/>
    </row>
    <row r="34" spans="1:27" x14ac:dyDescent="0.3">
      <c r="A34" s="71" t="s">
        <v>161</v>
      </c>
      <c r="B34" s="5"/>
      <c r="C34" s="161">
        <v>0.36</v>
      </c>
      <c r="N34" s="2" t="s">
        <v>155</v>
      </c>
      <c r="P34" s="57"/>
    </row>
    <row r="35" spans="1:27" x14ac:dyDescent="0.3">
      <c r="A35" s="71" t="s">
        <v>163</v>
      </c>
      <c r="B35" s="5"/>
      <c r="C35" s="161">
        <v>0.8</v>
      </c>
      <c r="E35" s="162" t="s">
        <v>164</v>
      </c>
      <c r="N35" s="2" t="s">
        <v>156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179" t="s">
        <v>26</v>
      </c>
      <c r="N37" s="179"/>
      <c r="O37" s="24" t="s">
        <v>27</v>
      </c>
      <c r="P37" s="54"/>
    </row>
    <row r="38" spans="1:27" ht="18" x14ac:dyDescent="0.3">
      <c r="A38" s="72" t="s">
        <v>148</v>
      </c>
      <c r="B38" s="1" t="s">
        <v>23</v>
      </c>
      <c r="C38" s="141">
        <v>8</v>
      </c>
      <c r="D38" s="142">
        <f>C38+1</f>
        <v>9</v>
      </c>
      <c r="E38" s="141">
        <f t="shared" ref="E38:L38" si="2">D38+1</f>
        <v>10</v>
      </c>
      <c r="F38" s="142">
        <f t="shared" si="2"/>
        <v>11</v>
      </c>
      <c r="G38" s="141">
        <f t="shared" si="2"/>
        <v>12</v>
      </c>
      <c r="H38" s="142">
        <f t="shared" si="2"/>
        <v>13</v>
      </c>
      <c r="I38" s="141">
        <f t="shared" si="2"/>
        <v>14</v>
      </c>
      <c r="J38" s="142">
        <f t="shared" si="2"/>
        <v>15</v>
      </c>
      <c r="K38" s="141">
        <f t="shared" si="2"/>
        <v>16</v>
      </c>
      <c r="L38" s="142">
        <f t="shared" si="2"/>
        <v>17</v>
      </c>
      <c r="M38" s="180" t="s">
        <v>82</v>
      </c>
      <c r="N38" s="180"/>
      <c r="P38" s="57"/>
    </row>
    <row r="39" spans="1:27" ht="18" x14ac:dyDescent="0.3">
      <c r="A39" s="72" t="s">
        <v>24</v>
      </c>
      <c r="B39" s="1" t="s">
        <v>23</v>
      </c>
      <c r="C39" s="141">
        <v>8</v>
      </c>
      <c r="D39" s="142">
        <f t="shared" ref="D39:L40" si="3">C39+1</f>
        <v>9</v>
      </c>
      <c r="E39" s="141">
        <f t="shared" si="3"/>
        <v>10</v>
      </c>
      <c r="F39" s="142">
        <f t="shared" si="3"/>
        <v>11</v>
      </c>
      <c r="G39" s="141">
        <f t="shared" si="3"/>
        <v>12</v>
      </c>
      <c r="H39" s="142">
        <f t="shared" si="3"/>
        <v>13</v>
      </c>
      <c r="I39" s="141">
        <f t="shared" si="3"/>
        <v>14</v>
      </c>
      <c r="J39" s="142">
        <f t="shared" si="3"/>
        <v>15</v>
      </c>
      <c r="K39" s="141">
        <f t="shared" si="3"/>
        <v>16</v>
      </c>
      <c r="L39" s="142">
        <f t="shared" si="3"/>
        <v>17</v>
      </c>
      <c r="M39" s="181" t="s">
        <v>84</v>
      </c>
      <c r="N39" s="181"/>
      <c r="O39" s="3" t="s">
        <v>118</v>
      </c>
      <c r="P39" s="57"/>
      <c r="AA39"/>
    </row>
    <row r="40" spans="1:27" ht="18.600000000000001" thickBot="1" x14ac:dyDescent="0.35">
      <c r="A40" s="74" t="s">
        <v>149</v>
      </c>
      <c r="B40" s="75" t="s">
        <v>150</v>
      </c>
      <c r="C40" s="76">
        <v>6</v>
      </c>
      <c r="D40" s="77">
        <f t="shared" si="3"/>
        <v>7</v>
      </c>
      <c r="E40" s="76">
        <f t="shared" si="3"/>
        <v>8</v>
      </c>
      <c r="F40" s="77">
        <f t="shared" si="3"/>
        <v>9</v>
      </c>
      <c r="G40" s="76">
        <f t="shared" si="3"/>
        <v>10</v>
      </c>
      <c r="H40" s="77">
        <f t="shared" si="3"/>
        <v>11</v>
      </c>
      <c r="I40" s="76">
        <f t="shared" si="3"/>
        <v>12</v>
      </c>
      <c r="J40" s="77">
        <f t="shared" si="3"/>
        <v>13</v>
      </c>
      <c r="K40" s="76">
        <f t="shared" si="3"/>
        <v>14</v>
      </c>
      <c r="L40" s="77">
        <f t="shared" si="3"/>
        <v>15</v>
      </c>
      <c r="M40" s="182" t="s">
        <v>28</v>
      </c>
      <c r="N40" s="182"/>
      <c r="O40" s="78" t="s">
        <v>119</v>
      </c>
      <c r="P40" s="79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126</v>
      </c>
      <c r="C1" s="40"/>
      <c r="D1" s="41"/>
      <c r="E1" s="42"/>
      <c r="F1" s="43"/>
      <c r="G1" s="44" t="s">
        <v>144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127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9</v>
      </c>
      <c r="C4" s="1"/>
      <c r="E4" s="116" t="s">
        <v>46</v>
      </c>
      <c r="F4" s="117">
        <v>18</v>
      </c>
      <c r="G4" s="159" t="s">
        <v>261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21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8</v>
      </c>
      <c r="B6" s="121" t="s">
        <v>2</v>
      </c>
      <c r="C6" s="175" t="s">
        <v>129</v>
      </c>
      <c r="D6" s="175"/>
      <c r="E6" s="175"/>
      <c r="F6" s="175"/>
      <c r="G6" s="175"/>
      <c r="H6" s="175"/>
      <c r="I6" s="175"/>
      <c r="J6" s="122">
        <v>-1</v>
      </c>
      <c r="K6" s="122"/>
      <c r="M6" s="176" t="s">
        <v>51</v>
      </c>
      <c r="N6" s="176"/>
      <c r="O6" s="176"/>
      <c r="P6" s="56">
        <v>13</v>
      </c>
    </row>
    <row r="7" spans="1:16" ht="32.4" customHeight="1" x14ac:dyDescent="0.3">
      <c r="A7" s="55">
        <v>10</v>
      </c>
      <c r="B7" s="121" t="s">
        <v>3</v>
      </c>
      <c r="C7" s="175" t="s">
        <v>87</v>
      </c>
      <c r="D7" s="175"/>
      <c r="E7" s="175"/>
      <c r="F7" s="175"/>
      <c r="G7" s="175"/>
      <c r="H7" s="175"/>
      <c r="I7" s="175"/>
      <c r="J7" s="122">
        <v>0</v>
      </c>
      <c r="K7" s="122"/>
      <c r="M7" s="176" t="s">
        <v>11</v>
      </c>
      <c r="N7" s="176"/>
      <c r="O7" s="176"/>
      <c r="P7" s="56">
        <v>14</v>
      </c>
    </row>
    <row r="8" spans="1:16" ht="32.4" customHeight="1" x14ac:dyDescent="0.3">
      <c r="A8" s="55">
        <v>13</v>
      </c>
      <c r="B8" s="121" t="s">
        <v>4</v>
      </c>
      <c r="C8" s="175" t="s">
        <v>130</v>
      </c>
      <c r="D8" s="175"/>
      <c r="E8" s="175"/>
      <c r="F8" s="175"/>
      <c r="G8" s="175"/>
      <c r="H8" s="175"/>
      <c r="I8" s="175"/>
      <c r="J8" s="122">
        <v>1</v>
      </c>
      <c r="K8" s="122"/>
      <c r="M8" s="176" t="s">
        <v>14</v>
      </c>
      <c r="N8" s="176"/>
      <c r="O8" s="176"/>
      <c r="P8" s="56">
        <v>13</v>
      </c>
    </row>
    <row r="9" spans="1:16" ht="32.4" customHeight="1" x14ac:dyDescent="0.3">
      <c r="A9" s="55">
        <v>16</v>
      </c>
      <c r="B9" s="121" t="s">
        <v>5</v>
      </c>
      <c r="C9" s="175" t="s">
        <v>131</v>
      </c>
      <c r="D9" s="175"/>
      <c r="E9" s="175"/>
      <c r="F9" s="175"/>
      <c r="G9" s="175"/>
      <c r="H9" s="175"/>
      <c r="I9" s="175"/>
      <c r="J9" s="122">
        <v>2</v>
      </c>
      <c r="K9" s="122"/>
      <c r="M9" s="176" t="s">
        <v>12</v>
      </c>
      <c r="N9" s="176"/>
      <c r="O9" s="176"/>
      <c r="P9" s="56">
        <v>16</v>
      </c>
    </row>
    <row r="10" spans="1:16" ht="32.4" customHeight="1" x14ac:dyDescent="0.3">
      <c r="A10" s="55">
        <v>9</v>
      </c>
      <c r="B10" s="121" t="s">
        <v>6</v>
      </c>
      <c r="C10" s="175" t="s">
        <v>87</v>
      </c>
      <c r="D10" s="175"/>
      <c r="E10" s="175"/>
      <c r="F10" s="175"/>
      <c r="G10" s="175"/>
      <c r="H10" s="175"/>
      <c r="I10" s="175"/>
      <c r="J10" s="122">
        <v>0</v>
      </c>
      <c r="K10" s="122"/>
      <c r="M10" s="176" t="s">
        <v>13</v>
      </c>
      <c r="N10" s="176"/>
      <c r="O10" s="176"/>
      <c r="P10" s="56">
        <v>15</v>
      </c>
    </row>
    <row r="11" spans="1:16" ht="32.4" customHeight="1" x14ac:dyDescent="0.3">
      <c r="A11" s="55">
        <v>8</v>
      </c>
      <c r="B11" s="121" t="s">
        <v>7</v>
      </c>
      <c r="C11" s="175" t="s">
        <v>132</v>
      </c>
      <c r="D11" s="175"/>
      <c r="E11" s="175"/>
      <c r="F11" s="175"/>
      <c r="G11" s="175"/>
      <c r="H11" s="175"/>
      <c r="I11" s="175"/>
      <c r="J11" s="122">
        <v>-1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171" t="s">
        <v>172</v>
      </c>
      <c r="B14" s="172"/>
      <c r="E14" s="123" t="s">
        <v>21</v>
      </c>
      <c r="F14" s="123"/>
      <c r="H14" s="94" t="s">
        <v>71</v>
      </c>
      <c r="I14" s="125">
        <v>40</v>
      </c>
      <c r="J14" s="1">
        <f>K14*1.5</f>
        <v>12</v>
      </c>
      <c r="K14" s="1">
        <f>I14/5</f>
        <v>8</v>
      </c>
      <c r="N14" s="3" t="s">
        <v>135</v>
      </c>
      <c r="P14" s="52"/>
    </row>
    <row r="15" spans="1:16" s="3" customFormat="1" ht="15.6" customHeight="1" x14ac:dyDescent="0.3">
      <c r="A15" s="173"/>
      <c r="B15" s="174"/>
      <c r="E15" s="126" t="s">
        <v>37</v>
      </c>
      <c r="F15" s="126"/>
      <c r="G15" s="127"/>
      <c r="H15" s="128" t="s">
        <v>72</v>
      </c>
      <c r="I15" s="129">
        <f>I14*3</f>
        <v>120</v>
      </c>
      <c r="J15" s="129">
        <f>K15*1.5</f>
        <v>36</v>
      </c>
      <c r="K15" s="129">
        <f t="shared" ref="K15:K18" si="0">I15/5</f>
        <v>24</v>
      </c>
      <c r="N15" s="3" t="s">
        <v>136</v>
      </c>
      <c r="P15" s="52"/>
    </row>
    <row r="16" spans="1:16" s="3" customFormat="1" ht="15.6" customHeight="1" x14ac:dyDescent="0.3">
      <c r="A16" s="173"/>
      <c r="B16" s="174"/>
      <c r="E16" s="123" t="s">
        <v>18</v>
      </c>
      <c r="F16" s="123"/>
      <c r="H16" s="94" t="s">
        <v>71</v>
      </c>
      <c r="I16" s="125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20</v>
      </c>
      <c r="J17" s="129">
        <f>K17*1.5</f>
        <v>6</v>
      </c>
      <c r="K17" s="129">
        <f t="shared" si="0"/>
        <v>4</v>
      </c>
      <c r="N17" s="3" t="s">
        <v>137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20</v>
      </c>
      <c r="J18" s="1">
        <f>K18*1.5</f>
        <v>6</v>
      </c>
      <c r="K18" s="1">
        <f t="shared" si="0"/>
        <v>4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134</v>
      </c>
      <c r="J19" s="132" t="s">
        <v>133</v>
      </c>
      <c r="K19" s="132"/>
      <c r="P19" s="52"/>
    </row>
    <row r="20" spans="1:16" s="3" customFormat="1" ht="15.6" customHeight="1" x14ac:dyDescent="0.3">
      <c r="A20" s="63" t="s">
        <v>238</v>
      </c>
      <c r="B20" s="37"/>
      <c r="N20" s="177"/>
      <c r="O20" s="177"/>
      <c r="P20" s="178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4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70"/>
      <c r="B30" s="1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58"/>
      <c r="P31" s="57"/>
    </row>
    <row r="32" spans="1:16" ht="15.6" x14ac:dyDescent="0.3">
      <c r="A32" s="59" t="s">
        <v>41</v>
      </c>
      <c r="B32" s="24"/>
      <c r="C32" s="29" t="s">
        <v>97</v>
      </c>
      <c r="D32" s="26"/>
      <c r="E32" s="29" t="s">
        <v>98</v>
      </c>
      <c r="F32" s="26"/>
      <c r="G32" s="29" t="s">
        <v>99</v>
      </c>
      <c r="H32" s="26"/>
      <c r="I32" s="29"/>
      <c r="J32" s="26"/>
      <c r="K32" s="26"/>
      <c r="N32" s="24" t="s">
        <v>29</v>
      </c>
      <c r="O32" s="26"/>
      <c r="P32" s="54"/>
    </row>
    <row r="33" spans="1:27" x14ac:dyDescent="0.3">
      <c r="A33" s="80" t="s">
        <v>30</v>
      </c>
      <c r="B33" s="2" t="s">
        <v>142</v>
      </c>
      <c r="N33" s="2" t="s">
        <v>54</v>
      </c>
      <c r="P33" s="57"/>
    </row>
    <row r="34" spans="1:27" x14ac:dyDescent="0.3">
      <c r="A34" s="80" t="s">
        <v>31</v>
      </c>
      <c r="B34" s="2" t="s">
        <v>143</v>
      </c>
      <c r="N34" s="2" t="s">
        <v>32</v>
      </c>
      <c r="P34" s="57"/>
    </row>
    <row r="35" spans="1:27" x14ac:dyDescent="0.3">
      <c r="A35" s="80" t="s">
        <v>38</v>
      </c>
      <c r="B35" s="2" t="s">
        <v>141</v>
      </c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179" t="s">
        <v>26</v>
      </c>
      <c r="N37" s="179"/>
      <c r="O37" s="24" t="s">
        <v>27</v>
      </c>
      <c r="P37" s="54"/>
    </row>
    <row r="38" spans="1:27" ht="18" x14ac:dyDescent="0.3">
      <c r="A38" s="72" t="s">
        <v>138</v>
      </c>
      <c r="B38" s="1" t="s">
        <v>23</v>
      </c>
      <c r="C38" s="141">
        <v>11</v>
      </c>
      <c r="D38" s="142">
        <f>C38+1</f>
        <v>12</v>
      </c>
      <c r="E38" s="141">
        <f t="shared" ref="E38:L38" si="2">D38+1</f>
        <v>13</v>
      </c>
      <c r="F38" s="142">
        <f t="shared" si="2"/>
        <v>14</v>
      </c>
      <c r="G38" s="141">
        <f t="shared" si="2"/>
        <v>15</v>
      </c>
      <c r="H38" s="142">
        <f t="shared" si="2"/>
        <v>16</v>
      </c>
      <c r="I38" s="141">
        <f t="shared" si="2"/>
        <v>17</v>
      </c>
      <c r="J38" s="142">
        <f t="shared" si="2"/>
        <v>18</v>
      </c>
      <c r="K38" s="141">
        <f t="shared" si="2"/>
        <v>19</v>
      </c>
      <c r="L38" s="142">
        <f t="shared" si="2"/>
        <v>20</v>
      </c>
      <c r="M38" s="180" t="s">
        <v>139</v>
      </c>
      <c r="N38" s="180"/>
      <c r="P38" s="57"/>
    </row>
    <row r="39" spans="1:27" ht="18" x14ac:dyDescent="0.3">
      <c r="A39" s="72" t="s">
        <v>24</v>
      </c>
      <c r="B39" s="1" t="s">
        <v>23</v>
      </c>
      <c r="C39" s="141">
        <v>11</v>
      </c>
      <c r="D39" s="142">
        <f t="shared" ref="D39:L40" si="3">C39+1</f>
        <v>12</v>
      </c>
      <c r="E39" s="141">
        <f t="shared" si="3"/>
        <v>13</v>
      </c>
      <c r="F39" s="142">
        <f t="shared" si="3"/>
        <v>14</v>
      </c>
      <c r="G39" s="141">
        <f t="shared" si="3"/>
        <v>15</v>
      </c>
      <c r="H39" s="142">
        <f t="shared" si="3"/>
        <v>16</v>
      </c>
      <c r="I39" s="141">
        <f t="shared" si="3"/>
        <v>17</v>
      </c>
      <c r="J39" s="142">
        <f t="shared" si="3"/>
        <v>18</v>
      </c>
      <c r="K39" s="141">
        <f t="shared" si="3"/>
        <v>19</v>
      </c>
      <c r="L39" s="142">
        <f t="shared" si="3"/>
        <v>20</v>
      </c>
      <c r="M39" s="181" t="s">
        <v>139</v>
      </c>
      <c r="N39" s="181"/>
      <c r="O39" s="3"/>
      <c r="P39" s="57"/>
      <c r="AA39"/>
    </row>
    <row r="40" spans="1:27" ht="18.600000000000001" thickBot="1" x14ac:dyDescent="0.35">
      <c r="A40" s="74" t="s">
        <v>24</v>
      </c>
      <c r="B40" s="75" t="s">
        <v>140</v>
      </c>
      <c r="C40" s="76">
        <v>10</v>
      </c>
      <c r="D40" s="77">
        <f t="shared" si="3"/>
        <v>11</v>
      </c>
      <c r="E40" s="76">
        <f t="shared" si="3"/>
        <v>12</v>
      </c>
      <c r="F40" s="77">
        <f t="shared" si="3"/>
        <v>13</v>
      </c>
      <c r="G40" s="76">
        <f t="shared" si="3"/>
        <v>14</v>
      </c>
      <c r="H40" s="77">
        <f t="shared" si="3"/>
        <v>15</v>
      </c>
      <c r="I40" s="76">
        <f t="shared" si="3"/>
        <v>16</v>
      </c>
      <c r="J40" s="77">
        <f t="shared" si="3"/>
        <v>17</v>
      </c>
      <c r="K40" s="76">
        <f t="shared" si="3"/>
        <v>18</v>
      </c>
      <c r="L40" s="77">
        <f t="shared" si="3"/>
        <v>19</v>
      </c>
      <c r="M40" s="182" t="s">
        <v>84</v>
      </c>
      <c r="N40" s="182"/>
      <c r="O40" s="78"/>
      <c r="P40" s="79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104</v>
      </c>
      <c r="C1" s="40"/>
      <c r="D1" s="41"/>
      <c r="E1" s="42"/>
      <c r="F1" s="43"/>
      <c r="G1" s="44" t="s">
        <v>121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105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0</v>
      </c>
      <c r="C4" s="1"/>
      <c r="E4" s="155" t="s">
        <v>46</v>
      </c>
      <c r="F4" s="117">
        <v>24</v>
      </c>
      <c r="G4" s="118" t="s">
        <v>110</v>
      </c>
      <c r="H4" s="1"/>
      <c r="I4" s="1"/>
      <c r="J4" s="119"/>
      <c r="K4" s="1"/>
      <c r="L4" s="120" t="s">
        <v>93</v>
      </c>
      <c r="M4" s="117">
        <v>1</v>
      </c>
      <c r="N4" s="1"/>
      <c r="O4" s="116" t="s">
        <v>9</v>
      </c>
      <c r="P4" s="83">
        <v>35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17</v>
      </c>
      <c r="B6" s="121" t="s">
        <v>2</v>
      </c>
      <c r="C6" s="175" t="s">
        <v>115</v>
      </c>
      <c r="D6" s="175"/>
      <c r="E6" s="175"/>
      <c r="F6" s="175"/>
      <c r="G6" s="175"/>
      <c r="H6" s="175"/>
      <c r="I6" s="175"/>
      <c r="J6" s="122">
        <v>2</v>
      </c>
      <c r="K6" s="122"/>
      <c r="L6" s="211" t="s">
        <v>374</v>
      </c>
      <c r="M6" s="176" t="s">
        <v>371</v>
      </c>
      <c r="N6" s="176"/>
      <c r="O6" s="176"/>
      <c r="P6" s="56">
        <v>10</v>
      </c>
    </row>
    <row r="7" spans="1:16" ht="32.4" customHeight="1" x14ac:dyDescent="0.3">
      <c r="A7" s="55">
        <v>14</v>
      </c>
      <c r="B7" s="121" t="s">
        <v>3</v>
      </c>
      <c r="C7" s="175" t="s">
        <v>116</v>
      </c>
      <c r="D7" s="175"/>
      <c r="E7" s="175"/>
      <c r="F7" s="175"/>
      <c r="G7" s="175"/>
      <c r="H7" s="175"/>
      <c r="I7" s="175"/>
      <c r="J7" s="122">
        <v>1</v>
      </c>
      <c r="K7" s="122"/>
      <c r="M7" s="176" t="s">
        <v>11</v>
      </c>
      <c r="N7" s="176"/>
      <c r="O7" s="176"/>
      <c r="P7" s="56">
        <v>13</v>
      </c>
    </row>
    <row r="8" spans="1:16" ht="32.4" customHeight="1" x14ac:dyDescent="0.3">
      <c r="A8" s="55">
        <v>11</v>
      </c>
      <c r="B8" s="121" t="s">
        <v>4</v>
      </c>
      <c r="C8" s="175" t="s">
        <v>87</v>
      </c>
      <c r="D8" s="175"/>
      <c r="E8" s="175"/>
      <c r="F8" s="175"/>
      <c r="G8" s="175"/>
      <c r="H8" s="175"/>
      <c r="I8" s="175"/>
      <c r="J8" s="122">
        <v>0</v>
      </c>
      <c r="K8" s="122"/>
      <c r="M8" s="176" t="s">
        <v>14</v>
      </c>
      <c r="N8" s="176"/>
      <c r="O8" s="176"/>
      <c r="P8" s="56">
        <v>14</v>
      </c>
    </row>
    <row r="9" spans="1:16" ht="32.4" customHeight="1" x14ac:dyDescent="0.3">
      <c r="A9" s="55">
        <v>7</v>
      </c>
      <c r="B9" s="121" t="s">
        <v>5</v>
      </c>
      <c r="C9" s="175" t="s">
        <v>88</v>
      </c>
      <c r="D9" s="175"/>
      <c r="E9" s="175"/>
      <c r="F9" s="175"/>
      <c r="G9" s="175"/>
      <c r="H9" s="175"/>
      <c r="I9" s="175"/>
      <c r="J9" s="122">
        <v>-1</v>
      </c>
      <c r="K9" s="122"/>
      <c r="M9" s="176" t="s">
        <v>12</v>
      </c>
      <c r="N9" s="176"/>
      <c r="O9" s="176"/>
      <c r="P9" s="56">
        <v>13</v>
      </c>
    </row>
    <row r="10" spans="1:16" ht="32.4" customHeight="1" x14ac:dyDescent="0.3">
      <c r="A10" s="55">
        <v>4</v>
      </c>
      <c r="B10" s="121" t="s">
        <v>6</v>
      </c>
      <c r="C10" s="175" t="s">
        <v>117</v>
      </c>
      <c r="D10" s="175"/>
      <c r="E10" s="175"/>
      <c r="F10" s="175"/>
      <c r="G10" s="175"/>
      <c r="H10" s="175"/>
      <c r="I10" s="175"/>
      <c r="J10" s="122">
        <v>-2</v>
      </c>
      <c r="K10" s="122"/>
      <c r="M10" s="176" t="s">
        <v>13</v>
      </c>
      <c r="N10" s="176"/>
      <c r="O10" s="176"/>
      <c r="P10" s="56">
        <v>16</v>
      </c>
    </row>
    <row r="11" spans="1:16" ht="32.4" customHeight="1" x14ac:dyDescent="0.3">
      <c r="A11" s="55">
        <v>10</v>
      </c>
      <c r="B11" s="121" t="s">
        <v>7</v>
      </c>
      <c r="C11" s="175" t="s">
        <v>90</v>
      </c>
      <c r="D11" s="175"/>
      <c r="E11" s="175"/>
      <c r="F11" s="175"/>
      <c r="G11" s="175"/>
      <c r="H11" s="175"/>
      <c r="I11" s="175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171" t="s">
        <v>172</v>
      </c>
      <c r="B14" s="172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57</v>
      </c>
      <c r="P14" s="52"/>
    </row>
    <row r="15" spans="1:16" s="3" customFormat="1" ht="15.6" customHeight="1" x14ac:dyDescent="0.3">
      <c r="A15" s="173"/>
      <c r="B15" s="174"/>
      <c r="E15" s="126" t="s">
        <v>37</v>
      </c>
      <c r="F15" s="126"/>
      <c r="G15" s="127"/>
      <c r="H15" s="128" t="s">
        <v>72</v>
      </c>
      <c r="I15" s="129">
        <v>60</v>
      </c>
      <c r="J15" s="129">
        <f>K15*1.5</f>
        <v>18</v>
      </c>
      <c r="K15" s="129">
        <f t="shared" ref="K15:K18" si="0">I15/5</f>
        <v>12</v>
      </c>
      <c r="N15" s="3" t="s">
        <v>112</v>
      </c>
      <c r="P15" s="52"/>
    </row>
    <row r="16" spans="1:16" s="3" customFormat="1" ht="15.6" customHeight="1" x14ac:dyDescent="0.3">
      <c r="A16" s="173"/>
      <c r="B16" s="174"/>
      <c r="E16" s="123" t="s">
        <v>18</v>
      </c>
      <c r="F16" s="123"/>
      <c r="H16" s="94" t="s">
        <v>71</v>
      </c>
      <c r="I16" s="125">
        <v>60</v>
      </c>
      <c r="J16" s="1">
        <f>K16*1.5</f>
        <v>18</v>
      </c>
      <c r="K16" s="1">
        <f t="shared" si="0"/>
        <v>12</v>
      </c>
      <c r="N16" s="3" t="s">
        <v>113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v>10</v>
      </c>
      <c r="J18" s="1">
        <f>K18*1.5</f>
        <v>3</v>
      </c>
      <c r="K18" s="1">
        <f t="shared" si="0"/>
        <v>2</v>
      </c>
      <c r="N18" s="3" t="s">
        <v>114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70</v>
      </c>
      <c r="J19" s="132" t="s">
        <v>69</v>
      </c>
      <c r="K19" s="132"/>
      <c r="N19" s="3" t="s">
        <v>62</v>
      </c>
      <c r="P19" s="52"/>
    </row>
    <row r="20" spans="1:16" s="3" customFormat="1" ht="15.6" customHeight="1" x14ac:dyDescent="0.3">
      <c r="A20" s="63" t="s">
        <v>238</v>
      </c>
      <c r="B20" s="37"/>
      <c r="E20" s="133"/>
      <c r="N20" s="177" t="s">
        <v>120</v>
      </c>
      <c r="O20" s="177"/>
      <c r="P20" s="178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34"/>
      <c r="P21" s="66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F22" s="3"/>
      <c r="N22" s="3"/>
      <c r="O22" s="134" t="s">
        <v>46</v>
      </c>
      <c r="P22" s="66">
        <v>12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56"/>
      <c r="P23" s="5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81" t="s">
        <v>125</v>
      </c>
      <c r="B31" s="157"/>
      <c r="C31" s="157" t="s">
        <v>8</v>
      </c>
      <c r="E31" s="133"/>
      <c r="P31" s="57"/>
    </row>
    <row r="32" spans="1:16" ht="15.6" x14ac:dyDescent="0.3">
      <c r="A32" s="71" t="s">
        <v>124</v>
      </c>
      <c r="B32" s="5"/>
      <c r="C32" s="158">
        <v>0</v>
      </c>
      <c r="E32" s="133"/>
      <c r="N32" s="24" t="s">
        <v>29</v>
      </c>
      <c r="O32" s="26"/>
      <c r="P32" s="54"/>
    </row>
    <row r="33" spans="1:27" x14ac:dyDescent="0.3">
      <c r="A33" s="71" t="s">
        <v>122</v>
      </c>
      <c r="B33" s="5"/>
      <c r="C33" s="5">
        <v>2</v>
      </c>
      <c r="E33" s="133"/>
      <c r="N33" s="2" t="s">
        <v>54</v>
      </c>
      <c r="P33" s="57"/>
    </row>
    <row r="34" spans="1:27" x14ac:dyDescent="0.3">
      <c r="A34" s="71" t="s">
        <v>123</v>
      </c>
      <c r="B34" s="5"/>
      <c r="C34" s="5">
        <v>2</v>
      </c>
      <c r="E34" s="133"/>
      <c r="N34" s="2" t="s">
        <v>32</v>
      </c>
      <c r="P34" s="57"/>
    </row>
    <row r="35" spans="1:27" x14ac:dyDescent="0.3">
      <c r="A35" s="71" t="s">
        <v>24</v>
      </c>
      <c r="B35" s="5"/>
      <c r="C35" s="5">
        <v>2</v>
      </c>
      <c r="E35" s="133"/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179" t="s">
        <v>26</v>
      </c>
      <c r="N37" s="179"/>
      <c r="O37" s="24" t="s">
        <v>27</v>
      </c>
      <c r="P37" s="54"/>
    </row>
    <row r="38" spans="1:27" ht="18" x14ac:dyDescent="0.3">
      <c r="A38" s="72" t="s">
        <v>106</v>
      </c>
      <c r="B38" s="1" t="s">
        <v>223</v>
      </c>
      <c r="C38" s="141">
        <v>5</v>
      </c>
      <c r="D38" s="142">
        <f>C38+1</f>
        <v>6</v>
      </c>
      <c r="E38" s="141">
        <f t="shared" ref="E38:L38" si="2">D38+1</f>
        <v>7</v>
      </c>
      <c r="F38" s="142">
        <f t="shared" si="2"/>
        <v>8</v>
      </c>
      <c r="G38" s="141">
        <f t="shared" si="2"/>
        <v>9</v>
      </c>
      <c r="H38" s="142">
        <f t="shared" si="2"/>
        <v>10</v>
      </c>
      <c r="I38" s="141">
        <f t="shared" si="2"/>
        <v>11</v>
      </c>
      <c r="J38" s="142">
        <f t="shared" si="2"/>
        <v>12</v>
      </c>
      <c r="K38" s="141">
        <f t="shared" si="2"/>
        <v>13</v>
      </c>
      <c r="L38" s="142">
        <f t="shared" si="2"/>
        <v>14</v>
      </c>
      <c r="M38" s="180" t="s">
        <v>107</v>
      </c>
      <c r="N38" s="180"/>
      <c r="O38" s="2" t="s">
        <v>111</v>
      </c>
      <c r="P38" s="57"/>
    </row>
    <row r="39" spans="1:27" ht="18" x14ac:dyDescent="0.3">
      <c r="A39" s="72" t="s">
        <v>24</v>
      </c>
      <c r="B39" s="1" t="s">
        <v>23</v>
      </c>
      <c r="C39" s="141">
        <v>6</v>
      </c>
      <c r="D39" s="142">
        <f t="shared" ref="D39:L40" si="3">C39+1</f>
        <v>7</v>
      </c>
      <c r="E39" s="141">
        <f t="shared" si="3"/>
        <v>8</v>
      </c>
      <c r="F39" s="142">
        <f t="shared" si="3"/>
        <v>9</v>
      </c>
      <c r="G39" s="141">
        <f t="shared" si="3"/>
        <v>10</v>
      </c>
      <c r="H39" s="142">
        <f t="shared" si="3"/>
        <v>11</v>
      </c>
      <c r="I39" s="141">
        <f t="shared" si="3"/>
        <v>12</v>
      </c>
      <c r="J39" s="142">
        <f t="shared" si="3"/>
        <v>13</v>
      </c>
      <c r="K39" s="141">
        <f t="shared" si="3"/>
        <v>14</v>
      </c>
      <c r="L39" s="142">
        <f t="shared" si="3"/>
        <v>15</v>
      </c>
      <c r="M39" s="181" t="s">
        <v>108</v>
      </c>
      <c r="N39" s="181"/>
      <c r="O39" s="3" t="s">
        <v>118</v>
      </c>
      <c r="P39" s="57"/>
      <c r="AA39"/>
    </row>
    <row r="40" spans="1:27" ht="18.600000000000001" thickBot="1" x14ac:dyDescent="0.35">
      <c r="A40" s="74" t="s">
        <v>25</v>
      </c>
      <c r="B40" s="75" t="s">
        <v>109</v>
      </c>
      <c r="C40" s="76">
        <v>7</v>
      </c>
      <c r="D40" s="77">
        <f t="shared" si="3"/>
        <v>8</v>
      </c>
      <c r="E40" s="76">
        <f t="shared" si="3"/>
        <v>9</v>
      </c>
      <c r="F40" s="77">
        <f t="shared" si="3"/>
        <v>10</v>
      </c>
      <c r="G40" s="76">
        <f t="shared" si="3"/>
        <v>11</v>
      </c>
      <c r="H40" s="77">
        <f t="shared" si="3"/>
        <v>12</v>
      </c>
      <c r="I40" s="76">
        <f t="shared" si="3"/>
        <v>13</v>
      </c>
      <c r="J40" s="77">
        <f t="shared" si="3"/>
        <v>14</v>
      </c>
      <c r="K40" s="76">
        <f t="shared" si="3"/>
        <v>15</v>
      </c>
      <c r="L40" s="77">
        <f t="shared" si="3"/>
        <v>16</v>
      </c>
      <c r="M40" s="182" t="s">
        <v>28</v>
      </c>
      <c r="N40" s="182"/>
      <c r="O40" s="78" t="s">
        <v>119</v>
      </c>
      <c r="P40" s="79"/>
    </row>
  </sheetData>
  <mergeCells count="17">
    <mergeCell ref="M37:N37"/>
    <mergeCell ref="M38:N38"/>
    <mergeCell ref="M39:N39"/>
    <mergeCell ref="M40:N40"/>
    <mergeCell ref="N20:P20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9" zoomScale="120" zoomScaleNormal="120" workbookViewId="0">
      <selection activeCell="R24" sqref="R2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49</v>
      </c>
      <c r="C1" s="40"/>
      <c r="D1" s="41"/>
      <c r="E1" s="42"/>
      <c r="F1" s="43"/>
      <c r="G1" s="44" t="s">
        <v>103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101</v>
      </c>
      <c r="H2" s="32"/>
      <c r="I2" s="33" t="s">
        <v>102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2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-1</v>
      </c>
      <c r="N4" s="1"/>
      <c r="O4" s="116" t="s">
        <v>9</v>
      </c>
      <c r="P4" s="83">
        <v>31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12</v>
      </c>
      <c r="B6" s="121" t="s">
        <v>2</v>
      </c>
      <c r="C6" s="175" t="s">
        <v>85</v>
      </c>
      <c r="D6" s="175"/>
      <c r="E6" s="175"/>
      <c r="F6" s="175"/>
      <c r="G6" s="175"/>
      <c r="H6" s="175"/>
      <c r="I6" s="175"/>
      <c r="J6" s="122">
        <v>0</v>
      </c>
      <c r="K6" s="122"/>
      <c r="L6" s="211" t="s">
        <v>372</v>
      </c>
      <c r="M6" s="176" t="s">
        <v>371</v>
      </c>
      <c r="N6" s="176"/>
      <c r="O6" s="176"/>
      <c r="P6" s="56">
        <v>9</v>
      </c>
    </row>
    <row r="7" spans="1:16" ht="32.4" customHeight="1" x14ac:dyDescent="0.3">
      <c r="A7" s="55">
        <v>6</v>
      </c>
      <c r="B7" s="121" t="s">
        <v>3</v>
      </c>
      <c r="C7" s="175" t="s">
        <v>86</v>
      </c>
      <c r="D7" s="175"/>
      <c r="E7" s="175"/>
      <c r="F7" s="175"/>
      <c r="G7" s="175"/>
      <c r="H7" s="175"/>
      <c r="I7" s="175"/>
      <c r="J7" s="122">
        <v>-1</v>
      </c>
      <c r="K7" s="122"/>
      <c r="M7" s="176" t="s">
        <v>11</v>
      </c>
      <c r="N7" s="176"/>
      <c r="O7" s="176"/>
      <c r="P7" s="56">
        <v>9</v>
      </c>
    </row>
    <row r="8" spans="1:16" ht="32.4" customHeight="1" x14ac:dyDescent="0.3">
      <c r="A8" s="55">
        <v>12</v>
      </c>
      <c r="B8" s="121" t="s">
        <v>4</v>
      </c>
      <c r="C8" s="175" t="s">
        <v>87</v>
      </c>
      <c r="D8" s="175"/>
      <c r="E8" s="175"/>
      <c r="F8" s="175"/>
      <c r="G8" s="175"/>
      <c r="H8" s="175"/>
      <c r="I8" s="175"/>
      <c r="J8" s="122">
        <v>0</v>
      </c>
      <c r="K8" s="122"/>
      <c r="M8" s="176" t="s">
        <v>14</v>
      </c>
      <c r="N8" s="176"/>
      <c r="O8" s="176"/>
      <c r="P8" s="56">
        <v>11</v>
      </c>
    </row>
    <row r="9" spans="1:16" ht="32.4" customHeight="1" x14ac:dyDescent="0.3">
      <c r="A9" s="55">
        <v>7</v>
      </c>
      <c r="B9" s="121" t="s">
        <v>5</v>
      </c>
      <c r="C9" s="175" t="s">
        <v>88</v>
      </c>
      <c r="D9" s="175"/>
      <c r="E9" s="175"/>
      <c r="F9" s="175"/>
      <c r="G9" s="175"/>
      <c r="H9" s="175"/>
      <c r="I9" s="175"/>
      <c r="J9" s="122">
        <v>-1</v>
      </c>
      <c r="K9" s="122"/>
      <c r="M9" s="176" t="s">
        <v>12</v>
      </c>
      <c r="N9" s="176"/>
      <c r="O9" s="176"/>
      <c r="P9" s="56">
        <v>14</v>
      </c>
    </row>
    <row r="10" spans="1:16" ht="32.4" customHeight="1" x14ac:dyDescent="0.3">
      <c r="A10" s="55">
        <v>13</v>
      </c>
      <c r="B10" s="121" t="s">
        <v>6</v>
      </c>
      <c r="C10" s="175" t="s">
        <v>89</v>
      </c>
      <c r="D10" s="175"/>
      <c r="E10" s="175"/>
      <c r="F10" s="175"/>
      <c r="G10" s="175"/>
      <c r="H10" s="175"/>
      <c r="I10" s="175"/>
      <c r="J10" s="122">
        <v>1</v>
      </c>
      <c r="K10" s="122"/>
      <c r="M10" s="176" t="s">
        <v>13</v>
      </c>
      <c r="N10" s="176"/>
      <c r="O10" s="176"/>
      <c r="P10" s="56">
        <v>11</v>
      </c>
    </row>
    <row r="11" spans="1:16" ht="32.4" customHeight="1" x14ac:dyDescent="0.3">
      <c r="A11" s="55">
        <v>9</v>
      </c>
      <c r="B11" s="121" t="s">
        <v>7</v>
      </c>
      <c r="C11" s="175" t="s">
        <v>90</v>
      </c>
      <c r="D11" s="175"/>
      <c r="E11" s="175"/>
      <c r="F11" s="175"/>
      <c r="G11" s="175"/>
      <c r="H11" s="175"/>
      <c r="I11" s="175"/>
      <c r="J11" s="122">
        <v>0</v>
      </c>
      <c r="K11" s="122"/>
      <c r="M11" s="204" t="s">
        <v>366</v>
      </c>
      <c r="N11" s="204"/>
      <c r="O11" s="204"/>
      <c r="P11" s="205"/>
    </row>
    <row r="12" spans="1:16" ht="8.4" customHeight="1" x14ac:dyDescent="0.3">
      <c r="A12" s="58"/>
      <c r="P12" s="111"/>
    </row>
    <row r="13" spans="1:16" s="3" customFormat="1" ht="15.6" customHeight="1" x14ac:dyDescent="0.3">
      <c r="A13" s="59" t="s">
        <v>16</v>
      </c>
      <c r="B13" s="24"/>
      <c r="C13" s="123"/>
      <c r="D13" s="24" t="s">
        <v>17</v>
      </c>
      <c r="E13" s="24"/>
      <c r="F13" s="24"/>
      <c r="G13" s="123"/>
      <c r="H13" s="206" t="s">
        <v>66</v>
      </c>
      <c r="I13" s="206" t="s">
        <v>67</v>
      </c>
      <c r="J13" s="206" t="s">
        <v>68</v>
      </c>
      <c r="K13" s="208" t="s">
        <v>369</v>
      </c>
      <c r="L13" s="206" t="s">
        <v>367</v>
      </c>
      <c r="N13" s="34" t="s">
        <v>56</v>
      </c>
      <c r="O13" s="35"/>
      <c r="P13" s="84"/>
    </row>
    <row r="14" spans="1:16" s="3" customFormat="1" ht="15.6" customHeight="1" x14ac:dyDescent="0.3">
      <c r="A14" s="171" t="s">
        <v>172</v>
      </c>
      <c r="B14" s="172"/>
      <c r="D14" s="123" t="s">
        <v>21</v>
      </c>
      <c r="E14" s="123"/>
      <c r="G14" s="94" t="s">
        <v>71</v>
      </c>
      <c r="H14" s="125">
        <v>20</v>
      </c>
      <c r="I14" s="1">
        <f>J14*1.5</f>
        <v>6</v>
      </c>
      <c r="J14" s="1">
        <f>H14/5</f>
        <v>4</v>
      </c>
      <c r="K14" s="208" t="s">
        <v>370</v>
      </c>
      <c r="L14" s="206" t="s">
        <v>47</v>
      </c>
      <c r="N14" s="20" t="s">
        <v>57</v>
      </c>
      <c r="O14" s="20"/>
      <c r="P14" s="85"/>
    </row>
    <row r="15" spans="1:16" s="3" customFormat="1" ht="15.6" customHeight="1" x14ac:dyDescent="0.3">
      <c r="A15" s="173"/>
      <c r="B15" s="174"/>
      <c r="D15" s="126" t="s">
        <v>37</v>
      </c>
      <c r="E15" s="126"/>
      <c r="F15" s="127"/>
      <c r="G15" s="128" t="s">
        <v>72</v>
      </c>
      <c r="H15" s="129">
        <v>60</v>
      </c>
      <c r="I15" s="129">
        <f>J15*1.5</f>
        <v>18</v>
      </c>
      <c r="J15" s="129">
        <f t="shared" ref="J15:J18" si="0">H15/5</f>
        <v>12</v>
      </c>
      <c r="K15" s="209" t="s">
        <v>47</v>
      </c>
      <c r="L15" s="210" t="s">
        <v>47</v>
      </c>
      <c r="N15" s="20" t="s">
        <v>58</v>
      </c>
      <c r="O15" s="20"/>
      <c r="P15" s="85"/>
    </row>
    <row r="16" spans="1:16" s="3" customFormat="1" ht="15.6" customHeight="1" x14ac:dyDescent="0.3">
      <c r="A16" s="173"/>
      <c r="B16" s="174"/>
      <c r="D16" s="123" t="s">
        <v>18</v>
      </c>
      <c r="E16" s="123"/>
      <c r="G16" s="94" t="s">
        <v>71</v>
      </c>
      <c r="H16" s="125">
        <v>60</v>
      </c>
      <c r="I16" s="1">
        <f>J16*1.5</f>
        <v>18</v>
      </c>
      <c r="J16" s="1">
        <f t="shared" si="0"/>
        <v>12</v>
      </c>
      <c r="K16" s="208">
        <f>J16+(J16/2)</f>
        <v>18</v>
      </c>
      <c r="L16" s="207" t="s">
        <v>368</v>
      </c>
      <c r="N16" s="20" t="s">
        <v>59</v>
      </c>
      <c r="O16" s="20"/>
      <c r="P16" s="85"/>
    </row>
    <row r="17" spans="1:16" s="3" customFormat="1" ht="15.6" customHeight="1" x14ac:dyDescent="0.3">
      <c r="A17" s="61" t="s">
        <v>207</v>
      </c>
      <c r="B17" s="130"/>
      <c r="D17" s="126" t="s">
        <v>35</v>
      </c>
      <c r="E17" s="126"/>
      <c r="F17" s="127"/>
      <c r="G17" s="128" t="s">
        <v>71</v>
      </c>
      <c r="H17" s="129">
        <v>10</v>
      </c>
      <c r="I17" s="129">
        <f>J17*1.5</f>
        <v>3</v>
      </c>
      <c r="J17" s="129">
        <f t="shared" si="0"/>
        <v>2</v>
      </c>
      <c r="K17" s="209">
        <f t="shared" ref="K17:K18" si="1">J17+(J17/2)</f>
        <v>3</v>
      </c>
      <c r="L17" s="207"/>
      <c r="N17" s="20" t="s">
        <v>60</v>
      </c>
      <c r="O17" s="20"/>
      <c r="P17" s="85"/>
    </row>
    <row r="18" spans="1:16" s="3" customFormat="1" ht="15.6" customHeight="1" x14ac:dyDescent="0.3">
      <c r="A18" s="61" t="s">
        <v>96</v>
      </c>
      <c r="B18" s="131"/>
      <c r="D18" s="123" t="s">
        <v>36</v>
      </c>
      <c r="E18" s="123"/>
      <c r="G18" s="94" t="s">
        <v>71</v>
      </c>
      <c r="H18" s="125">
        <v>10</v>
      </c>
      <c r="I18" s="1">
        <f>J18*1.5</f>
        <v>3</v>
      </c>
      <c r="J18" s="1">
        <f t="shared" si="0"/>
        <v>2</v>
      </c>
      <c r="K18" s="208">
        <f t="shared" si="1"/>
        <v>3</v>
      </c>
      <c r="L18" s="207"/>
      <c r="N18" s="20" t="s">
        <v>61</v>
      </c>
      <c r="O18" s="20"/>
      <c r="P18" s="85"/>
    </row>
    <row r="19" spans="1:16" s="3" customFormat="1" ht="15.6" customHeight="1" x14ac:dyDescent="0.3">
      <c r="A19" s="62"/>
      <c r="B19" s="22"/>
      <c r="D19" s="126" t="s">
        <v>22</v>
      </c>
      <c r="E19" s="126"/>
      <c r="F19" s="127"/>
      <c r="G19" s="128" t="s">
        <v>73</v>
      </c>
      <c r="H19" s="132" t="s">
        <v>147</v>
      </c>
      <c r="I19" s="132" t="s">
        <v>69</v>
      </c>
      <c r="J19" s="132"/>
      <c r="K19" s="209" t="s">
        <v>47</v>
      </c>
      <c r="L19" s="210" t="s">
        <v>47</v>
      </c>
      <c r="N19" s="20" t="s">
        <v>91</v>
      </c>
      <c r="O19" s="20"/>
      <c r="P19" s="85"/>
    </row>
    <row r="20" spans="1:16" s="3" customFormat="1" ht="15.6" customHeight="1" x14ac:dyDescent="0.3">
      <c r="A20" s="88" t="s">
        <v>238</v>
      </c>
      <c r="B20" s="87"/>
      <c r="N20" s="183" t="s">
        <v>62</v>
      </c>
      <c r="O20" s="183"/>
      <c r="P20" s="184"/>
    </row>
    <row r="21" spans="1:16" s="3" customFormat="1" ht="15.6" customHeight="1" x14ac:dyDescent="0.3">
      <c r="A21" s="89" t="s">
        <v>239</v>
      </c>
      <c r="B21" s="23"/>
      <c r="D21" s="133" t="s">
        <v>229</v>
      </c>
      <c r="N21" s="20"/>
      <c r="O21" s="20"/>
      <c r="P21" s="86"/>
    </row>
    <row r="22" spans="1:16" ht="15.6" customHeight="1" x14ac:dyDescent="0.3">
      <c r="A22" s="90" t="s">
        <v>240</v>
      </c>
      <c r="B22" s="38"/>
      <c r="D22" s="133" t="s">
        <v>231</v>
      </c>
      <c r="N22" s="134"/>
      <c r="O22" s="134" t="s">
        <v>46</v>
      </c>
      <c r="P22" s="66">
        <v>8</v>
      </c>
    </row>
    <row r="23" spans="1:16" ht="15.6" customHeight="1" x14ac:dyDescent="0.3">
      <c r="A23" s="89" t="s">
        <v>241</v>
      </c>
      <c r="B23" s="23"/>
      <c r="D23" s="133" t="s">
        <v>228</v>
      </c>
      <c r="M23" s="123"/>
      <c r="N23" s="135"/>
      <c r="O23" s="23"/>
      <c r="P23" s="67"/>
    </row>
    <row r="24" spans="1:16" ht="15.6" customHeight="1" x14ac:dyDescent="0.3">
      <c r="A24" s="90" t="s">
        <v>242</v>
      </c>
      <c r="B24" s="38"/>
      <c r="D24" s="133" t="s">
        <v>230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89" t="s">
        <v>243</v>
      </c>
      <c r="B25" s="23"/>
      <c r="D25" s="133" t="s">
        <v>232</v>
      </c>
      <c r="N25" s="136" t="s">
        <v>42</v>
      </c>
      <c r="O25" s="23"/>
      <c r="P25" s="69"/>
    </row>
    <row r="26" spans="1:16" ht="15.6" customHeight="1" x14ac:dyDescent="0.3">
      <c r="A26" s="90" t="s">
        <v>79</v>
      </c>
      <c r="B26" s="38"/>
      <c r="D26" s="137" t="s">
        <v>235</v>
      </c>
      <c r="N26" s="136" t="s">
        <v>39</v>
      </c>
      <c r="O26" s="23"/>
      <c r="P26" s="69">
        <v>500</v>
      </c>
    </row>
    <row r="27" spans="1:16" ht="15.6" customHeight="1" x14ac:dyDescent="0.3">
      <c r="A27" s="91" t="s">
        <v>244</v>
      </c>
      <c r="B27" s="18"/>
      <c r="D27" s="137" t="s">
        <v>319</v>
      </c>
      <c r="N27" s="136" t="s">
        <v>43</v>
      </c>
      <c r="O27" s="23"/>
      <c r="P27" s="69"/>
    </row>
    <row r="28" spans="1:16" ht="15.6" customHeight="1" x14ac:dyDescent="0.3">
      <c r="A28" s="58"/>
      <c r="D28" s="138" t="s">
        <v>236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D29" s="138" t="s">
        <v>237</v>
      </c>
      <c r="N29" s="139"/>
      <c r="O29" s="134" t="s">
        <v>46</v>
      </c>
      <c r="P29" s="66">
        <v>5</v>
      </c>
    </row>
    <row r="30" spans="1:16" x14ac:dyDescent="0.3">
      <c r="A30" s="58"/>
      <c r="D30" s="138" t="s">
        <v>222</v>
      </c>
      <c r="P30" s="57"/>
    </row>
    <row r="31" spans="1:16" ht="15.6" customHeight="1" x14ac:dyDescent="0.3">
      <c r="A31" s="59" t="s">
        <v>41</v>
      </c>
      <c r="B31" s="24"/>
      <c r="C31" s="29" t="s">
        <v>97</v>
      </c>
      <c r="D31" s="26"/>
      <c r="E31" s="29" t="s">
        <v>98</v>
      </c>
      <c r="F31" s="26"/>
      <c r="G31" s="29" t="s">
        <v>99</v>
      </c>
      <c r="H31" s="26"/>
      <c r="I31" s="29" t="s">
        <v>100</v>
      </c>
      <c r="J31" s="26"/>
      <c r="K31" s="26"/>
      <c r="N31" s="24" t="s">
        <v>29</v>
      </c>
      <c r="O31" s="26"/>
      <c r="P31" s="54"/>
    </row>
    <row r="32" spans="1:16" x14ac:dyDescent="0.3">
      <c r="A32" s="80" t="s">
        <v>30</v>
      </c>
      <c r="B32" s="2" t="s">
        <v>76</v>
      </c>
      <c r="N32" s="2" t="s">
        <v>54</v>
      </c>
      <c r="P32" s="57"/>
    </row>
    <row r="33" spans="1:27" x14ac:dyDescent="0.3">
      <c r="A33" s="80" t="s">
        <v>31</v>
      </c>
      <c r="B33" s="2" t="s">
        <v>78</v>
      </c>
      <c r="N33" s="2" t="s">
        <v>32</v>
      </c>
      <c r="P33" s="57"/>
    </row>
    <row r="34" spans="1:27" x14ac:dyDescent="0.3">
      <c r="A34" s="80" t="s">
        <v>38</v>
      </c>
      <c r="B34" s="2" t="s">
        <v>77</v>
      </c>
      <c r="N34" s="2" t="s">
        <v>55</v>
      </c>
      <c r="P34" s="57"/>
    </row>
    <row r="35" spans="1:27" x14ac:dyDescent="0.3">
      <c r="A35" s="80" t="s">
        <v>64</v>
      </c>
      <c r="B35" s="2" t="s">
        <v>65</v>
      </c>
      <c r="N35" s="2" t="s">
        <v>74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2">E37-1</f>
        <v>6</v>
      </c>
      <c r="G37" s="28">
        <f t="shared" si="2"/>
        <v>5</v>
      </c>
      <c r="H37" s="4">
        <f t="shared" si="2"/>
        <v>4</v>
      </c>
      <c r="I37" s="28">
        <f t="shared" si="2"/>
        <v>3</v>
      </c>
      <c r="J37" s="4">
        <f t="shared" si="2"/>
        <v>2</v>
      </c>
      <c r="K37" s="28">
        <f t="shared" si="2"/>
        <v>1</v>
      </c>
      <c r="L37" s="4">
        <f t="shared" si="2"/>
        <v>0</v>
      </c>
      <c r="M37" s="179" t="s">
        <v>26</v>
      </c>
      <c r="N37" s="179"/>
      <c r="O37" s="24" t="s">
        <v>27</v>
      </c>
      <c r="P37" s="54"/>
    </row>
    <row r="38" spans="1:27" ht="18" x14ac:dyDescent="0.3">
      <c r="A38" s="72" t="s">
        <v>52</v>
      </c>
      <c r="B38" s="1" t="s">
        <v>23</v>
      </c>
      <c r="C38" s="141">
        <v>8</v>
      </c>
      <c r="D38" s="142">
        <f>C38+1</f>
        <v>9</v>
      </c>
      <c r="E38" s="141">
        <f t="shared" ref="E38:L38" si="3">D38+1</f>
        <v>10</v>
      </c>
      <c r="F38" s="142">
        <f t="shared" si="3"/>
        <v>11</v>
      </c>
      <c r="G38" s="141">
        <f t="shared" si="3"/>
        <v>12</v>
      </c>
      <c r="H38" s="142">
        <f t="shared" si="3"/>
        <v>13</v>
      </c>
      <c r="I38" s="141">
        <f t="shared" si="3"/>
        <v>14</v>
      </c>
      <c r="J38" s="142">
        <f t="shared" si="3"/>
        <v>15</v>
      </c>
      <c r="K38" s="141">
        <f t="shared" si="3"/>
        <v>16</v>
      </c>
      <c r="L38" s="142">
        <f t="shared" si="3"/>
        <v>17</v>
      </c>
      <c r="M38" s="180" t="s">
        <v>28</v>
      </c>
      <c r="N38" s="180"/>
      <c r="P38" s="57"/>
    </row>
    <row r="39" spans="1:27" ht="18" x14ac:dyDescent="0.3">
      <c r="A39" s="72" t="s">
        <v>53</v>
      </c>
      <c r="B39" s="1" t="s">
        <v>80</v>
      </c>
      <c r="C39" s="141">
        <v>8</v>
      </c>
      <c r="D39" s="142">
        <f t="shared" ref="D39:L39" si="4">C39+1</f>
        <v>9</v>
      </c>
      <c r="E39" s="141">
        <f t="shared" si="4"/>
        <v>10</v>
      </c>
      <c r="F39" s="142">
        <f t="shared" si="4"/>
        <v>11</v>
      </c>
      <c r="G39" s="141">
        <f t="shared" si="4"/>
        <v>12</v>
      </c>
      <c r="H39" s="142">
        <f t="shared" si="4"/>
        <v>13</v>
      </c>
      <c r="I39" s="141">
        <f t="shared" si="4"/>
        <v>14</v>
      </c>
      <c r="J39" s="142">
        <f t="shared" si="4"/>
        <v>15</v>
      </c>
      <c r="K39" s="141">
        <f t="shared" si="4"/>
        <v>16</v>
      </c>
      <c r="L39" s="142">
        <f t="shared" si="4"/>
        <v>17</v>
      </c>
      <c r="M39" s="181" t="s">
        <v>84</v>
      </c>
      <c r="N39" s="181"/>
      <c r="O39" s="3" t="s">
        <v>83</v>
      </c>
      <c r="P39" s="57"/>
      <c r="AA39"/>
    </row>
    <row r="40" spans="1:27" ht="18.600000000000001" thickBot="1" x14ac:dyDescent="0.35">
      <c r="A40" s="74" t="s">
        <v>79</v>
      </c>
      <c r="B40" s="75" t="s">
        <v>81</v>
      </c>
      <c r="C40" s="76">
        <v>9</v>
      </c>
      <c r="D40" s="77">
        <f t="shared" ref="D40:L40" si="5">C40+1</f>
        <v>10</v>
      </c>
      <c r="E40" s="76">
        <f t="shared" si="5"/>
        <v>11</v>
      </c>
      <c r="F40" s="77">
        <f t="shared" si="5"/>
        <v>12</v>
      </c>
      <c r="G40" s="76">
        <f t="shared" si="5"/>
        <v>13</v>
      </c>
      <c r="H40" s="77">
        <f t="shared" si="5"/>
        <v>14</v>
      </c>
      <c r="I40" s="76">
        <f t="shared" si="5"/>
        <v>15</v>
      </c>
      <c r="J40" s="77">
        <f t="shared" si="5"/>
        <v>16</v>
      </c>
      <c r="K40" s="76">
        <f t="shared" si="5"/>
        <v>17</v>
      </c>
      <c r="L40" s="77">
        <f t="shared" si="5"/>
        <v>18</v>
      </c>
      <c r="M40" s="182" t="s">
        <v>82</v>
      </c>
      <c r="N40" s="182"/>
      <c r="O40" s="143" t="s">
        <v>221</v>
      </c>
      <c r="P40" s="79"/>
    </row>
  </sheetData>
  <mergeCells count="19">
    <mergeCell ref="M39:N39"/>
    <mergeCell ref="C11:I11"/>
    <mergeCell ref="N20:P20"/>
    <mergeCell ref="M40:N40"/>
    <mergeCell ref="M37:N37"/>
    <mergeCell ref="M38:N38"/>
    <mergeCell ref="M11:P11"/>
    <mergeCell ref="L16:L1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zoomScale="130" zoomScaleNormal="130" workbookViewId="0">
      <selection activeCell="S6" sqref="S6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225</v>
      </c>
      <c r="B1" s="1"/>
      <c r="C1" s="16"/>
      <c r="E1" s="2" t="s">
        <v>224</v>
      </c>
      <c r="G1" s="16"/>
      <c r="I1" s="2" t="s">
        <v>227</v>
      </c>
      <c r="K1" s="16"/>
      <c r="M1" s="2" t="s">
        <v>226</v>
      </c>
      <c r="O1" s="17"/>
      <c r="P1" s="18"/>
      <c r="Q1" s="19"/>
    </row>
    <row r="2" spans="1:21" ht="17.399999999999999" customHeight="1" x14ac:dyDescent="0.3">
      <c r="A2" s="150" t="s">
        <v>45</v>
      </c>
      <c r="B2" s="144"/>
      <c r="C2" s="144"/>
      <c r="D2" s="144"/>
      <c r="E2" s="144"/>
      <c r="F2" s="144"/>
      <c r="G2" s="144"/>
      <c r="H2" s="92" t="s">
        <v>44</v>
      </c>
      <c r="I2" s="92" t="s">
        <v>46</v>
      </c>
      <c r="J2" s="198" t="s">
        <v>387</v>
      </c>
      <c r="K2" s="198"/>
      <c r="L2" s="198"/>
      <c r="M2" s="198"/>
      <c r="N2" s="198"/>
      <c r="O2" s="198"/>
      <c r="P2" s="199"/>
      <c r="Q2" s="198"/>
      <c r="R2" s="7"/>
      <c r="S2" s="7"/>
      <c r="T2" s="7"/>
      <c r="U2" s="7"/>
    </row>
    <row r="3" spans="1:21" ht="17.399999999999999" customHeight="1" x14ac:dyDescent="0.3">
      <c r="A3" s="124">
        <v>1</v>
      </c>
      <c r="B3" s="2"/>
      <c r="C3" s="2"/>
      <c r="D3" s="2"/>
      <c r="E3" s="1"/>
      <c r="F3" s="2"/>
      <c r="G3" s="2"/>
      <c r="H3" s="10"/>
      <c r="I3" s="11"/>
      <c r="J3" s="200" t="s">
        <v>9</v>
      </c>
      <c r="K3" s="201"/>
      <c r="L3" s="201"/>
      <c r="M3" s="201"/>
      <c r="N3" s="201"/>
      <c r="O3" s="201"/>
      <c r="P3" s="201"/>
      <c r="Q3" s="201"/>
    </row>
    <row r="4" spans="1:21" ht="17.399999999999999" customHeight="1" x14ac:dyDescent="0.3">
      <c r="A4" s="151">
        <f>A3+1</f>
        <v>2</v>
      </c>
      <c r="B4" s="145"/>
      <c r="C4" s="145"/>
      <c r="D4" s="145"/>
      <c r="E4" s="145"/>
      <c r="F4" s="145"/>
      <c r="G4" s="145"/>
      <c r="H4" s="12"/>
      <c r="I4" s="12"/>
      <c r="J4" s="201"/>
      <c r="K4" s="201"/>
      <c r="L4" s="201"/>
      <c r="M4" s="201"/>
      <c r="N4" s="201"/>
      <c r="O4" s="201"/>
      <c r="P4" s="201"/>
      <c r="Q4" s="201"/>
    </row>
    <row r="5" spans="1:21" ht="17.399999999999999" customHeight="1" x14ac:dyDescent="0.3">
      <c r="A5" s="124">
        <f>A4+1</f>
        <v>3</v>
      </c>
      <c r="B5" s="2"/>
      <c r="C5" s="2"/>
      <c r="D5" s="2"/>
      <c r="E5" s="1"/>
      <c r="F5" s="2"/>
      <c r="G5" s="2"/>
      <c r="H5" s="11"/>
      <c r="I5" s="11"/>
      <c r="J5" s="201"/>
      <c r="K5" s="201"/>
      <c r="L5" s="201"/>
      <c r="M5" s="201"/>
      <c r="N5" s="201"/>
      <c r="O5" s="201"/>
      <c r="P5" s="201"/>
      <c r="Q5" s="201"/>
    </row>
    <row r="6" spans="1:21" ht="17.399999999999999" customHeight="1" x14ac:dyDescent="0.3">
      <c r="A6" s="151">
        <f t="shared" ref="A6:A22" si="0">A5+1</f>
        <v>4</v>
      </c>
      <c r="B6" s="145"/>
      <c r="C6" s="145"/>
      <c r="D6" s="145"/>
      <c r="E6" s="145"/>
      <c r="F6" s="145"/>
      <c r="G6" s="145"/>
      <c r="H6" s="12"/>
      <c r="I6" s="12"/>
      <c r="J6" s="203" t="s">
        <v>360</v>
      </c>
      <c r="K6" s="200"/>
      <c r="L6" s="200"/>
      <c r="M6" s="200"/>
      <c r="N6" s="200"/>
      <c r="O6" s="200"/>
      <c r="P6" s="200"/>
      <c r="Q6" s="200"/>
    </row>
    <row r="7" spans="1:21" ht="17.399999999999999" customHeight="1" x14ac:dyDescent="0.3">
      <c r="A7" s="124">
        <f t="shared" si="0"/>
        <v>5</v>
      </c>
      <c r="B7" s="2"/>
      <c r="C7" s="2"/>
      <c r="D7" s="2"/>
      <c r="E7" s="1"/>
      <c r="F7" s="2"/>
      <c r="G7" s="2"/>
      <c r="H7" s="11"/>
      <c r="I7" s="11"/>
      <c r="J7" s="225" t="s">
        <v>381</v>
      </c>
      <c r="K7" s="212" t="s">
        <v>375</v>
      </c>
      <c r="L7" s="212" t="s">
        <v>376</v>
      </c>
      <c r="M7" s="212" t="s">
        <v>377</v>
      </c>
      <c r="N7" s="212" t="s">
        <v>378</v>
      </c>
      <c r="O7" s="212" t="s">
        <v>379</v>
      </c>
      <c r="P7" s="212"/>
      <c r="Q7" s="212"/>
    </row>
    <row r="8" spans="1:21" ht="17.399999999999999" customHeight="1" x14ac:dyDescent="0.3">
      <c r="A8" s="151">
        <f t="shared" si="0"/>
        <v>6</v>
      </c>
      <c r="B8" s="145"/>
      <c r="C8" s="145"/>
      <c r="D8" s="145"/>
      <c r="E8" s="145"/>
      <c r="F8" s="145"/>
      <c r="G8" s="145"/>
      <c r="H8" s="12"/>
      <c r="I8" s="12"/>
      <c r="J8" s="200" t="s">
        <v>8</v>
      </c>
      <c r="K8" s="200"/>
      <c r="L8" s="200"/>
      <c r="M8" s="200"/>
      <c r="N8" s="200"/>
      <c r="O8" s="200"/>
      <c r="P8" s="200"/>
      <c r="Q8" s="200"/>
    </row>
    <row r="9" spans="1:21" ht="17.399999999999999" customHeight="1" x14ac:dyDescent="0.3">
      <c r="A9" s="124">
        <f t="shared" si="0"/>
        <v>7</v>
      </c>
      <c r="B9" s="2"/>
      <c r="C9" s="2"/>
      <c r="D9" s="2"/>
      <c r="E9" s="1"/>
      <c r="F9" s="2"/>
      <c r="G9" s="2"/>
      <c r="H9" s="11"/>
      <c r="I9" s="11"/>
      <c r="J9" s="200" t="s">
        <v>361</v>
      </c>
      <c r="K9" s="200"/>
      <c r="L9" s="200"/>
      <c r="M9" s="200"/>
      <c r="N9" s="200"/>
      <c r="O9" s="200"/>
      <c r="P9" s="200"/>
      <c r="Q9" s="200"/>
    </row>
    <row r="10" spans="1:21" ht="17.399999999999999" customHeight="1" x14ac:dyDescent="0.3">
      <c r="A10" s="151">
        <f t="shared" si="0"/>
        <v>8</v>
      </c>
      <c r="B10" s="145"/>
      <c r="C10" s="145"/>
      <c r="D10" s="145"/>
      <c r="E10" s="145"/>
      <c r="F10" s="145"/>
      <c r="G10" s="145"/>
      <c r="H10" s="12"/>
      <c r="I10" s="12"/>
      <c r="J10" s="200" t="s">
        <v>362</v>
      </c>
      <c r="K10" s="200"/>
      <c r="L10" s="200"/>
      <c r="M10" s="200"/>
      <c r="N10" s="200"/>
      <c r="O10" s="200"/>
      <c r="P10" s="200"/>
      <c r="Q10" s="200"/>
    </row>
    <row r="11" spans="1:21" ht="17.399999999999999" customHeight="1" x14ac:dyDescent="0.3">
      <c r="A11" s="124">
        <f t="shared" si="0"/>
        <v>9</v>
      </c>
      <c r="B11" s="2"/>
      <c r="C11" s="2"/>
      <c r="D11" s="2"/>
      <c r="E11" s="1"/>
      <c r="F11" s="2"/>
      <c r="G11" s="2"/>
      <c r="H11" s="11"/>
      <c r="I11" s="11"/>
      <c r="J11" s="200" t="s">
        <v>363</v>
      </c>
      <c r="K11" s="200"/>
      <c r="L11" s="200"/>
      <c r="M11" s="200"/>
      <c r="N11" s="200"/>
      <c r="O11" s="200"/>
      <c r="P11" s="200"/>
      <c r="Q11" s="200"/>
    </row>
    <row r="12" spans="1:21" ht="17.399999999999999" customHeight="1" x14ac:dyDescent="0.3">
      <c r="A12" s="151">
        <f t="shared" si="0"/>
        <v>10</v>
      </c>
      <c r="B12" s="145"/>
      <c r="C12" s="145"/>
      <c r="D12" s="145"/>
      <c r="E12" s="145"/>
      <c r="F12" s="145"/>
      <c r="G12" s="145"/>
      <c r="H12" s="12"/>
      <c r="I12" s="12"/>
      <c r="J12" s="200" t="s">
        <v>365</v>
      </c>
      <c r="K12" s="200"/>
      <c r="L12" s="200"/>
      <c r="M12" s="200"/>
      <c r="N12" s="200"/>
      <c r="O12" s="200"/>
      <c r="P12" s="200"/>
      <c r="Q12" s="200"/>
    </row>
    <row r="13" spans="1:21" ht="17.399999999999999" customHeight="1" x14ac:dyDescent="0.3">
      <c r="A13" s="124">
        <f t="shared" si="0"/>
        <v>11</v>
      </c>
      <c r="B13" s="2"/>
      <c r="C13" s="2"/>
      <c r="D13" s="2"/>
      <c r="E13" s="1"/>
      <c r="F13" s="2"/>
      <c r="G13" s="2"/>
      <c r="H13" s="11"/>
      <c r="I13" s="11"/>
      <c r="J13" s="200" t="s">
        <v>364</v>
      </c>
      <c r="K13" s="200"/>
      <c r="L13" s="200"/>
      <c r="M13" s="200"/>
      <c r="N13" s="200"/>
      <c r="O13" s="200"/>
      <c r="P13" s="200"/>
      <c r="Q13" s="200"/>
    </row>
    <row r="14" spans="1:21" ht="17.399999999999999" customHeight="1" x14ac:dyDescent="0.3">
      <c r="A14" s="151">
        <f t="shared" si="0"/>
        <v>12</v>
      </c>
      <c r="B14" s="145"/>
      <c r="C14" s="145"/>
      <c r="D14" s="145"/>
      <c r="E14" s="145"/>
      <c r="F14" s="145"/>
      <c r="G14" s="145"/>
      <c r="H14" s="12"/>
      <c r="I14" s="12"/>
      <c r="J14" s="202" t="s">
        <v>386</v>
      </c>
      <c r="K14" s="213"/>
      <c r="L14" s="213"/>
      <c r="M14" s="213"/>
      <c r="N14" s="213"/>
      <c r="O14" s="213"/>
      <c r="P14" s="213"/>
      <c r="Q14" s="213"/>
      <c r="S14" s="214"/>
      <c r="T14" s="214"/>
    </row>
    <row r="15" spans="1:21" ht="17.399999999999999" customHeight="1" x14ac:dyDescent="0.3">
      <c r="A15" s="124">
        <f t="shared" si="0"/>
        <v>13</v>
      </c>
      <c r="B15" s="2"/>
      <c r="C15" s="2"/>
      <c r="D15" s="2"/>
      <c r="E15" s="1"/>
      <c r="F15" s="2"/>
      <c r="G15" s="2"/>
      <c r="H15" s="11"/>
      <c r="I15" s="11"/>
      <c r="J15" s="202" t="s">
        <v>380</v>
      </c>
      <c r="K15" s="213"/>
      <c r="L15" s="213"/>
      <c r="M15" s="213"/>
      <c r="N15" s="213"/>
      <c r="O15" s="213"/>
      <c r="P15" s="213"/>
      <c r="Q15" s="215"/>
      <c r="R15" s="214"/>
      <c r="S15" s="226"/>
      <c r="T15" s="214"/>
    </row>
    <row r="16" spans="1:21" ht="17.399999999999999" customHeight="1" x14ac:dyDescent="0.3">
      <c r="A16" s="151">
        <f t="shared" si="0"/>
        <v>14</v>
      </c>
      <c r="B16" s="145"/>
      <c r="C16" s="145"/>
      <c r="D16" s="145"/>
      <c r="E16" s="145"/>
      <c r="F16" s="145"/>
      <c r="G16" s="145"/>
      <c r="H16" s="12"/>
      <c r="I16" s="12"/>
      <c r="J16" s="202" t="s">
        <v>243</v>
      </c>
      <c r="K16" s="213"/>
      <c r="L16" s="213"/>
      <c r="M16" s="213"/>
      <c r="N16" s="213"/>
      <c r="O16" s="213"/>
      <c r="P16" s="213"/>
      <c r="Q16" s="215"/>
      <c r="R16" s="214"/>
      <c r="S16" s="227"/>
      <c r="T16" s="214"/>
    </row>
    <row r="17" spans="1:21" ht="17.399999999999999" customHeight="1" x14ac:dyDescent="0.3">
      <c r="A17" s="124">
        <f t="shared" si="0"/>
        <v>15</v>
      </c>
      <c r="B17" s="2"/>
      <c r="C17" s="2"/>
      <c r="D17" s="2"/>
      <c r="E17" s="1"/>
      <c r="F17" s="2"/>
      <c r="G17" s="2"/>
      <c r="H17" s="11"/>
      <c r="I17" s="11"/>
      <c r="J17" s="202" t="s">
        <v>359</v>
      </c>
      <c r="K17" s="213"/>
      <c r="L17" s="213"/>
      <c r="M17" s="213"/>
      <c r="N17" s="213"/>
      <c r="O17" s="213"/>
      <c r="P17" s="213"/>
      <c r="Q17" s="215"/>
      <c r="R17" s="214"/>
      <c r="S17" s="227"/>
      <c r="T17" s="214"/>
    </row>
    <row r="18" spans="1:21" ht="17.399999999999999" customHeight="1" x14ac:dyDescent="0.3">
      <c r="A18" s="151">
        <f t="shared" si="0"/>
        <v>16</v>
      </c>
      <c r="B18" s="145"/>
      <c r="C18" s="145"/>
      <c r="D18" s="145"/>
      <c r="E18" s="145"/>
      <c r="F18" s="145"/>
      <c r="G18" s="145"/>
      <c r="H18" s="12"/>
      <c r="I18" s="12"/>
      <c r="J18" s="202" t="s">
        <v>241</v>
      </c>
      <c r="K18" s="213"/>
      <c r="L18" s="213"/>
      <c r="M18" s="213"/>
      <c r="N18" s="213"/>
      <c r="O18" s="213"/>
      <c r="P18" s="213"/>
      <c r="Q18" s="215"/>
      <c r="R18" s="214"/>
      <c r="S18" s="227"/>
      <c r="T18" s="214"/>
    </row>
    <row r="19" spans="1:21" ht="17.399999999999999" customHeight="1" x14ac:dyDescent="0.3">
      <c r="A19" s="124">
        <f t="shared" si="0"/>
        <v>17</v>
      </c>
      <c r="B19" s="2"/>
      <c r="C19" s="2"/>
      <c r="D19" s="2"/>
      <c r="E19" s="1"/>
      <c r="F19" s="2"/>
      <c r="G19" s="2"/>
      <c r="H19" s="11"/>
      <c r="I19" s="11"/>
      <c r="J19" s="202" t="s">
        <v>239</v>
      </c>
      <c r="K19" s="213"/>
      <c r="L19" s="213"/>
      <c r="M19" s="213"/>
      <c r="N19" s="213"/>
      <c r="O19" s="213"/>
      <c r="P19" s="213"/>
      <c r="Q19" s="215"/>
      <c r="R19" s="214"/>
      <c r="S19" s="227"/>
      <c r="T19" s="214"/>
    </row>
    <row r="20" spans="1:21" ht="17.399999999999999" customHeight="1" x14ac:dyDescent="0.3">
      <c r="A20" s="152">
        <f t="shared" si="0"/>
        <v>18</v>
      </c>
      <c r="B20" s="146"/>
      <c r="C20" s="145"/>
      <c r="D20" s="145"/>
      <c r="E20" s="145"/>
      <c r="F20" s="145"/>
      <c r="G20" s="145"/>
      <c r="H20" s="12"/>
      <c r="I20" s="12"/>
      <c r="J20" s="202" t="s">
        <v>384</v>
      </c>
      <c r="K20" s="213"/>
      <c r="L20" s="213"/>
      <c r="M20" s="213"/>
      <c r="N20" s="213"/>
      <c r="O20" s="213"/>
      <c r="P20" s="213"/>
      <c r="Q20" s="215"/>
      <c r="R20" s="214"/>
      <c r="S20" s="227" t="s">
        <v>382</v>
      </c>
      <c r="T20" s="214"/>
    </row>
    <row r="21" spans="1:21" ht="17.399999999999999" customHeight="1" x14ac:dyDescent="0.3">
      <c r="A21" s="93">
        <f t="shared" si="0"/>
        <v>19</v>
      </c>
      <c r="B21" s="2"/>
      <c r="C21" s="2"/>
      <c r="D21" s="2"/>
      <c r="E21" s="1"/>
      <c r="F21" s="2"/>
      <c r="G21" s="2"/>
      <c r="H21" s="11"/>
      <c r="I21" s="11"/>
      <c r="J21" s="202" t="s">
        <v>383</v>
      </c>
      <c r="K21" s="213"/>
      <c r="L21" s="213"/>
      <c r="M21" s="213"/>
      <c r="N21" s="213"/>
      <c r="O21" s="213"/>
      <c r="P21" s="213"/>
      <c r="Q21" s="215"/>
      <c r="R21" s="214"/>
      <c r="S21" s="227" t="s">
        <v>382</v>
      </c>
      <c r="T21" s="214"/>
    </row>
    <row r="22" spans="1:21" ht="17.399999999999999" customHeight="1" x14ac:dyDescent="0.3">
      <c r="A22" s="152">
        <f t="shared" si="0"/>
        <v>20</v>
      </c>
      <c r="B22" s="145"/>
      <c r="C22" s="9"/>
      <c r="D22" s="9"/>
      <c r="E22" s="9"/>
      <c r="F22" s="9"/>
      <c r="G22" s="9"/>
      <c r="H22" s="13"/>
      <c r="I22" s="13"/>
      <c r="J22" s="216" t="s">
        <v>240</v>
      </c>
      <c r="K22" s="197"/>
      <c r="L22" s="197"/>
      <c r="M22" s="197"/>
      <c r="N22" s="197"/>
      <c r="O22" s="197"/>
      <c r="P22" s="197"/>
      <c r="Q22" s="215"/>
      <c r="R22" s="214"/>
      <c r="S22" s="228" t="s">
        <v>382</v>
      </c>
      <c r="T22" s="214"/>
    </row>
    <row r="23" spans="1:21" ht="14.4" customHeight="1" thickBot="1" x14ac:dyDescent="0.35">
      <c r="A23" s="218"/>
      <c r="B23" s="21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29" t="s">
        <v>385</v>
      </c>
      <c r="S23" s="214"/>
      <c r="T23" s="214"/>
    </row>
    <row r="24" spans="1:21" ht="17.399999999999999" customHeight="1" x14ac:dyDescent="0.3">
      <c r="A24" s="185" t="s">
        <v>206</v>
      </c>
      <c r="B24" s="186"/>
      <c r="C24" s="217" t="s">
        <v>8</v>
      </c>
      <c r="D24" s="217" t="s">
        <v>8</v>
      </c>
      <c r="E24" s="217" t="s">
        <v>8</v>
      </c>
      <c r="F24" s="217" t="s">
        <v>8</v>
      </c>
      <c r="G24" s="217" t="s">
        <v>8</v>
      </c>
      <c r="H24" s="217" t="s">
        <v>8</v>
      </c>
      <c r="I24" s="217" t="s">
        <v>8</v>
      </c>
      <c r="J24" s="217" t="s">
        <v>8</v>
      </c>
      <c r="K24" s="217" t="s">
        <v>8</v>
      </c>
      <c r="L24" s="217" t="s">
        <v>8</v>
      </c>
      <c r="M24" s="217" t="s">
        <v>8</v>
      </c>
      <c r="N24" s="217" t="s">
        <v>8</v>
      </c>
      <c r="O24" s="217" t="s">
        <v>8</v>
      </c>
      <c r="P24" s="217" t="s">
        <v>8</v>
      </c>
      <c r="Q24" s="149" t="s">
        <v>8</v>
      </c>
    </row>
    <row r="25" spans="1:21" ht="17.399999999999999" customHeight="1" x14ac:dyDescent="0.3">
      <c r="A25" s="153"/>
      <c r="B25" s="154"/>
      <c r="C25" s="8">
        <v>-3</v>
      </c>
      <c r="D25" s="8">
        <f t="shared" ref="D25:Q25" si="1">C25+1</f>
        <v>-2</v>
      </c>
      <c r="E25" s="8">
        <f t="shared" si="1"/>
        <v>-1</v>
      </c>
      <c r="F25" s="8">
        <f t="shared" si="1"/>
        <v>0</v>
      </c>
      <c r="G25" s="8">
        <f t="shared" si="1"/>
        <v>1</v>
      </c>
      <c r="H25" s="8">
        <f t="shared" si="1"/>
        <v>2</v>
      </c>
      <c r="I25" s="8">
        <f t="shared" si="1"/>
        <v>3</v>
      </c>
      <c r="J25" s="8">
        <f t="shared" si="1"/>
        <v>4</v>
      </c>
      <c r="K25" s="8">
        <f t="shared" si="1"/>
        <v>5</v>
      </c>
      <c r="L25" s="8">
        <f t="shared" si="1"/>
        <v>6</v>
      </c>
      <c r="M25" s="8">
        <f t="shared" si="1"/>
        <v>7</v>
      </c>
      <c r="N25" s="8">
        <f t="shared" si="1"/>
        <v>8</v>
      </c>
      <c r="O25" s="8">
        <f t="shared" si="1"/>
        <v>9</v>
      </c>
      <c r="P25" s="8">
        <f t="shared" si="1"/>
        <v>10</v>
      </c>
      <c r="Q25" s="8">
        <f t="shared" si="1"/>
        <v>11</v>
      </c>
      <c r="R25" s="1"/>
      <c r="S25" s="1"/>
      <c r="T25" s="1"/>
      <c r="U25" s="1"/>
    </row>
    <row r="26" spans="1:21" ht="14.4" customHeight="1" x14ac:dyDescent="0.3">
      <c r="A26" s="187">
        <v>19</v>
      </c>
      <c r="B26" s="188"/>
      <c r="C26" s="147">
        <f>$A26-C$25</f>
        <v>22</v>
      </c>
      <c r="D26" s="147">
        <f t="shared" ref="D26:Q26" si="2">$A26-D$25</f>
        <v>21</v>
      </c>
      <c r="E26" s="147">
        <f t="shared" si="2"/>
        <v>20</v>
      </c>
      <c r="F26" s="147">
        <f t="shared" si="2"/>
        <v>19</v>
      </c>
      <c r="G26" s="147">
        <f t="shared" si="2"/>
        <v>18</v>
      </c>
      <c r="H26" s="147">
        <f t="shared" si="2"/>
        <v>17</v>
      </c>
      <c r="I26" s="147">
        <f t="shared" si="2"/>
        <v>16</v>
      </c>
      <c r="J26" s="147">
        <f t="shared" si="2"/>
        <v>15</v>
      </c>
      <c r="K26" s="147">
        <f t="shared" si="2"/>
        <v>14</v>
      </c>
      <c r="L26" s="147">
        <f t="shared" si="2"/>
        <v>13</v>
      </c>
      <c r="M26" s="147">
        <f t="shared" si="2"/>
        <v>12</v>
      </c>
      <c r="N26" s="147">
        <f t="shared" si="2"/>
        <v>11</v>
      </c>
      <c r="O26" s="147">
        <f t="shared" si="2"/>
        <v>10</v>
      </c>
      <c r="P26" s="147">
        <f t="shared" si="2"/>
        <v>9</v>
      </c>
      <c r="Q26" s="147">
        <f t="shared" si="2"/>
        <v>8</v>
      </c>
    </row>
    <row r="27" spans="1:21" ht="14.4" customHeight="1" x14ac:dyDescent="0.3">
      <c r="A27" s="189">
        <v>18</v>
      </c>
      <c r="B27" s="190"/>
      <c r="C27" s="148">
        <f t="shared" ref="C27:Q34" si="3">$A27-C$25</f>
        <v>21</v>
      </c>
      <c r="D27" s="148">
        <f t="shared" si="3"/>
        <v>20</v>
      </c>
      <c r="E27" s="148">
        <f t="shared" si="3"/>
        <v>19</v>
      </c>
      <c r="F27" s="148">
        <f t="shared" si="3"/>
        <v>18</v>
      </c>
      <c r="G27" s="148">
        <f t="shared" si="3"/>
        <v>17</v>
      </c>
      <c r="H27" s="148">
        <f t="shared" si="3"/>
        <v>16</v>
      </c>
      <c r="I27" s="148">
        <f t="shared" si="3"/>
        <v>15</v>
      </c>
      <c r="J27" s="148">
        <f t="shared" si="3"/>
        <v>14</v>
      </c>
      <c r="K27" s="148">
        <f t="shared" si="3"/>
        <v>13</v>
      </c>
      <c r="L27" s="148">
        <f t="shared" si="3"/>
        <v>12</v>
      </c>
      <c r="M27" s="148">
        <f t="shared" si="3"/>
        <v>11</v>
      </c>
      <c r="N27" s="148">
        <f t="shared" si="3"/>
        <v>10</v>
      </c>
      <c r="O27" s="148">
        <f t="shared" si="3"/>
        <v>9</v>
      </c>
      <c r="P27" s="148">
        <f t="shared" si="3"/>
        <v>8</v>
      </c>
      <c r="Q27" s="148">
        <f t="shared" si="3"/>
        <v>7</v>
      </c>
    </row>
    <row r="28" spans="1:21" ht="14.4" customHeight="1" x14ac:dyDescent="0.3">
      <c r="A28" s="188">
        <v>17</v>
      </c>
      <c r="B28" s="188"/>
      <c r="C28" s="147">
        <f t="shared" si="3"/>
        <v>20</v>
      </c>
      <c r="D28" s="147">
        <f t="shared" si="3"/>
        <v>19</v>
      </c>
      <c r="E28" s="147">
        <f t="shared" si="3"/>
        <v>18</v>
      </c>
      <c r="F28" s="147">
        <f t="shared" si="3"/>
        <v>17</v>
      </c>
      <c r="G28" s="147">
        <f t="shared" si="3"/>
        <v>16</v>
      </c>
      <c r="H28" s="147">
        <f t="shared" si="3"/>
        <v>15</v>
      </c>
      <c r="I28" s="147">
        <f t="shared" si="3"/>
        <v>14</v>
      </c>
      <c r="J28" s="147">
        <f t="shared" si="3"/>
        <v>13</v>
      </c>
      <c r="K28" s="147">
        <f t="shared" si="3"/>
        <v>12</v>
      </c>
      <c r="L28" s="147">
        <f t="shared" si="3"/>
        <v>11</v>
      </c>
      <c r="M28" s="147">
        <f t="shared" si="3"/>
        <v>10</v>
      </c>
      <c r="N28" s="147">
        <f t="shared" si="3"/>
        <v>9</v>
      </c>
      <c r="O28" s="147">
        <f t="shared" si="3"/>
        <v>8</v>
      </c>
      <c r="P28" s="147">
        <f t="shared" si="3"/>
        <v>7</v>
      </c>
      <c r="Q28" s="147">
        <f t="shared" si="3"/>
        <v>6</v>
      </c>
    </row>
    <row r="29" spans="1:21" ht="14.4" customHeight="1" x14ac:dyDescent="0.3">
      <c r="A29" s="190">
        <v>16</v>
      </c>
      <c r="B29" s="190"/>
      <c r="C29" s="148">
        <f t="shared" si="3"/>
        <v>19</v>
      </c>
      <c r="D29" s="148">
        <f t="shared" si="3"/>
        <v>18</v>
      </c>
      <c r="E29" s="148">
        <f t="shared" si="3"/>
        <v>17</v>
      </c>
      <c r="F29" s="148">
        <f t="shared" si="3"/>
        <v>16</v>
      </c>
      <c r="G29" s="148">
        <f t="shared" si="3"/>
        <v>15</v>
      </c>
      <c r="H29" s="148">
        <f t="shared" si="3"/>
        <v>14</v>
      </c>
      <c r="I29" s="148">
        <f t="shared" si="3"/>
        <v>13</v>
      </c>
      <c r="J29" s="148">
        <f t="shared" si="3"/>
        <v>12</v>
      </c>
      <c r="K29" s="148">
        <f t="shared" si="3"/>
        <v>11</v>
      </c>
      <c r="L29" s="148">
        <f t="shared" si="3"/>
        <v>10</v>
      </c>
      <c r="M29" s="148">
        <f t="shared" si="3"/>
        <v>9</v>
      </c>
      <c r="N29" s="148">
        <f t="shared" si="3"/>
        <v>8</v>
      </c>
      <c r="O29" s="148">
        <f t="shared" si="3"/>
        <v>7</v>
      </c>
      <c r="P29" s="148">
        <f t="shared" si="3"/>
        <v>6</v>
      </c>
      <c r="Q29" s="148">
        <f t="shared" si="3"/>
        <v>5</v>
      </c>
    </row>
    <row r="30" spans="1:21" ht="14.4" customHeight="1" x14ac:dyDescent="0.3">
      <c r="A30" s="188">
        <v>15</v>
      </c>
      <c r="B30" s="188"/>
      <c r="C30" s="147">
        <f t="shared" si="3"/>
        <v>18</v>
      </c>
      <c r="D30" s="147">
        <f t="shared" si="3"/>
        <v>17</v>
      </c>
      <c r="E30" s="147">
        <f t="shared" si="3"/>
        <v>16</v>
      </c>
      <c r="F30" s="147">
        <f t="shared" si="3"/>
        <v>15</v>
      </c>
      <c r="G30" s="147">
        <f t="shared" si="3"/>
        <v>14</v>
      </c>
      <c r="H30" s="147">
        <f t="shared" si="3"/>
        <v>13</v>
      </c>
      <c r="I30" s="147">
        <f t="shared" si="3"/>
        <v>12</v>
      </c>
      <c r="J30" s="147">
        <f t="shared" si="3"/>
        <v>11</v>
      </c>
      <c r="K30" s="147">
        <f t="shared" si="3"/>
        <v>10</v>
      </c>
      <c r="L30" s="147">
        <f t="shared" si="3"/>
        <v>9</v>
      </c>
      <c r="M30" s="147">
        <f t="shared" si="3"/>
        <v>8</v>
      </c>
      <c r="N30" s="147">
        <f t="shared" si="3"/>
        <v>7</v>
      </c>
      <c r="O30" s="147">
        <f t="shared" si="3"/>
        <v>6</v>
      </c>
      <c r="P30" s="147">
        <f t="shared" si="3"/>
        <v>5</v>
      </c>
      <c r="Q30" s="147">
        <f t="shared" si="3"/>
        <v>4</v>
      </c>
    </row>
    <row r="31" spans="1:21" ht="14.4" customHeight="1" x14ac:dyDescent="0.3">
      <c r="A31" s="190">
        <v>14</v>
      </c>
      <c r="B31" s="190"/>
      <c r="C31" s="148">
        <f t="shared" si="3"/>
        <v>17</v>
      </c>
      <c r="D31" s="148">
        <f t="shared" si="3"/>
        <v>16</v>
      </c>
      <c r="E31" s="148">
        <f t="shared" si="3"/>
        <v>15</v>
      </c>
      <c r="F31" s="148">
        <f t="shared" si="3"/>
        <v>14</v>
      </c>
      <c r="G31" s="148">
        <f t="shared" si="3"/>
        <v>13</v>
      </c>
      <c r="H31" s="148">
        <f t="shared" si="3"/>
        <v>12</v>
      </c>
      <c r="I31" s="148">
        <f t="shared" si="3"/>
        <v>11</v>
      </c>
      <c r="J31" s="148">
        <f t="shared" si="3"/>
        <v>10</v>
      </c>
      <c r="K31" s="148">
        <f t="shared" si="3"/>
        <v>9</v>
      </c>
      <c r="L31" s="148">
        <f t="shared" si="3"/>
        <v>8</v>
      </c>
      <c r="M31" s="148">
        <f t="shared" si="3"/>
        <v>7</v>
      </c>
      <c r="N31" s="148">
        <f t="shared" si="3"/>
        <v>6</v>
      </c>
      <c r="O31" s="148">
        <f t="shared" si="3"/>
        <v>5</v>
      </c>
      <c r="P31" s="148">
        <f t="shared" si="3"/>
        <v>4</v>
      </c>
      <c r="Q31" s="148">
        <f t="shared" si="3"/>
        <v>3</v>
      </c>
    </row>
    <row r="32" spans="1:21" ht="14.4" customHeight="1" x14ac:dyDescent="0.3">
      <c r="A32" s="188">
        <v>13</v>
      </c>
      <c r="B32" s="188"/>
      <c r="C32" s="147">
        <f t="shared" si="3"/>
        <v>16</v>
      </c>
      <c r="D32" s="147">
        <f t="shared" si="3"/>
        <v>15</v>
      </c>
      <c r="E32" s="147">
        <f t="shared" si="3"/>
        <v>14</v>
      </c>
      <c r="F32" s="147">
        <f t="shared" si="3"/>
        <v>13</v>
      </c>
      <c r="G32" s="147">
        <f t="shared" si="3"/>
        <v>12</v>
      </c>
      <c r="H32" s="147">
        <f t="shared" si="3"/>
        <v>11</v>
      </c>
      <c r="I32" s="147">
        <f t="shared" si="3"/>
        <v>10</v>
      </c>
      <c r="J32" s="147">
        <f t="shared" si="3"/>
        <v>9</v>
      </c>
      <c r="K32" s="147">
        <f t="shared" si="3"/>
        <v>8</v>
      </c>
      <c r="L32" s="147">
        <f t="shared" si="3"/>
        <v>7</v>
      </c>
      <c r="M32" s="147">
        <f t="shared" si="3"/>
        <v>6</v>
      </c>
      <c r="N32" s="147">
        <f t="shared" si="3"/>
        <v>5</v>
      </c>
      <c r="O32" s="147">
        <f t="shared" si="3"/>
        <v>4</v>
      </c>
      <c r="P32" s="147">
        <f t="shared" si="3"/>
        <v>3</v>
      </c>
      <c r="Q32" s="147">
        <f t="shared" si="3"/>
        <v>2</v>
      </c>
    </row>
    <row r="33" spans="1:17" ht="14.4" customHeight="1" x14ac:dyDescent="0.3">
      <c r="A33" s="190">
        <v>12</v>
      </c>
      <c r="B33" s="190"/>
      <c r="C33" s="148">
        <f t="shared" si="3"/>
        <v>15</v>
      </c>
      <c r="D33" s="148">
        <f t="shared" si="3"/>
        <v>14</v>
      </c>
      <c r="E33" s="148">
        <f t="shared" si="3"/>
        <v>13</v>
      </c>
      <c r="F33" s="148">
        <f t="shared" si="3"/>
        <v>12</v>
      </c>
      <c r="G33" s="148">
        <f t="shared" si="3"/>
        <v>11</v>
      </c>
      <c r="H33" s="148">
        <f t="shared" si="3"/>
        <v>10</v>
      </c>
      <c r="I33" s="148">
        <f t="shared" si="3"/>
        <v>9</v>
      </c>
      <c r="J33" s="148">
        <f t="shared" si="3"/>
        <v>8</v>
      </c>
      <c r="K33" s="148">
        <f t="shared" si="3"/>
        <v>7</v>
      </c>
      <c r="L33" s="148">
        <f t="shared" si="3"/>
        <v>6</v>
      </c>
      <c r="M33" s="148">
        <f t="shared" si="3"/>
        <v>5</v>
      </c>
      <c r="N33" s="148">
        <f t="shared" si="3"/>
        <v>4</v>
      </c>
      <c r="O33" s="148">
        <f t="shared" si="3"/>
        <v>3</v>
      </c>
      <c r="P33" s="148">
        <f t="shared" si="3"/>
        <v>2</v>
      </c>
      <c r="Q33" s="148">
        <f t="shared" si="3"/>
        <v>1</v>
      </c>
    </row>
    <row r="34" spans="1:17" ht="14.4" customHeight="1" x14ac:dyDescent="0.3">
      <c r="A34" s="188">
        <v>11</v>
      </c>
      <c r="B34" s="188"/>
      <c r="C34" s="147">
        <f t="shared" si="3"/>
        <v>14</v>
      </c>
      <c r="D34" s="147">
        <f t="shared" si="3"/>
        <v>13</v>
      </c>
      <c r="E34" s="147">
        <f t="shared" si="3"/>
        <v>12</v>
      </c>
      <c r="F34" s="147">
        <f t="shared" si="3"/>
        <v>11</v>
      </c>
      <c r="G34" s="147">
        <f t="shared" si="3"/>
        <v>10</v>
      </c>
      <c r="H34" s="147">
        <f t="shared" si="3"/>
        <v>9</v>
      </c>
      <c r="I34" s="147">
        <f t="shared" si="3"/>
        <v>8</v>
      </c>
      <c r="J34" s="147">
        <f t="shared" si="3"/>
        <v>7</v>
      </c>
      <c r="K34" s="147">
        <f t="shared" si="3"/>
        <v>6</v>
      </c>
      <c r="L34" s="147">
        <f t="shared" si="3"/>
        <v>5</v>
      </c>
      <c r="M34" s="147">
        <f t="shared" si="3"/>
        <v>4</v>
      </c>
      <c r="N34" s="147">
        <f t="shared" si="3"/>
        <v>3</v>
      </c>
      <c r="O34" s="147">
        <f t="shared" si="3"/>
        <v>2</v>
      </c>
      <c r="P34" s="147">
        <f t="shared" si="3"/>
        <v>1</v>
      </c>
      <c r="Q34" s="147">
        <f t="shared" si="3"/>
        <v>0</v>
      </c>
    </row>
    <row r="35" spans="1:17" ht="14.4" customHeight="1" x14ac:dyDescent="0.3">
      <c r="A35" s="220"/>
      <c r="B35" s="221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220"/>
      <c r="O35" s="220"/>
      <c r="P35" s="220"/>
      <c r="Q35" s="222" t="s">
        <v>207</v>
      </c>
    </row>
    <row r="36" spans="1:17" ht="12.6" customHeight="1" thickBot="1" x14ac:dyDescent="0.35">
      <c r="A36" s="223"/>
      <c r="B36" s="224"/>
      <c r="C36" s="223"/>
      <c r="D36" s="223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</row>
    <row r="37" spans="1:17" ht="12.6" customHeight="1" x14ac:dyDescent="0.3">
      <c r="A37" s="96" t="s">
        <v>46</v>
      </c>
      <c r="B37" s="97" t="s">
        <v>48</v>
      </c>
      <c r="C37" s="96"/>
      <c r="D37" s="96"/>
      <c r="E37" s="96"/>
      <c r="F37" s="96"/>
      <c r="G37" s="96"/>
      <c r="H37" s="96"/>
      <c r="I37" s="96"/>
      <c r="J37" s="96"/>
      <c r="K37" s="98" t="s">
        <v>215</v>
      </c>
      <c r="L37" s="99"/>
      <c r="M37" s="100" t="s">
        <v>8</v>
      </c>
      <c r="N37" s="100" t="s">
        <v>46</v>
      </c>
      <c r="O37" s="100" t="s">
        <v>216</v>
      </c>
      <c r="P37" s="100" t="s">
        <v>217</v>
      </c>
      <c r="Q37" s="100" t="s">
        <v>218</v>
      </c>
    </row>
    <row r="38" spans="1:17" ht="12.6" customHeight="1" x14ac:dyDescent="0.3">
      <c r="A38" s="94">
        <v>0</v>
      </c>
      <c r="B38" s="95" t="s">
        <v>245</v>
      </c>
      <c r="K38" s="93" t="s">
        <v>208</v>
      </c>
      <c r="L38" s="2"/>
      <c r="M38" s="101">
        <v>9</v>
      </c>
      <c r="N38" s="101">
        <v>0</v>
      </c>
      <c r="O38" s="101" t="s">
        <v>219</v>
      </c>
      <c r="P38" s="101" t="s">
        <v>220</v>
      </c>
      <c r="Q38" s="101" t="s">
        <v>221</v>
      </c>
    </row>
    <row r="39" spans="1:17" ht="12.6" customHeight="1" x14ac:dyDescent="0.3">
      <c r="A39" s="94" t="s">
        <v>247</v>
      </c>
      <c r="B39" s="105" t="s">
        <v>246</v>
      </c>
      <c r="C39" s="106"/>
      <c r="D39" s="106"/>
      <c r="E39" s="106"/>
      <c r="F39" s="106"/>
      <c r="G39" s="106"/>
      <c r="H39" s="106"/>
      <c r="I39" s="106"/>
      <c r="J39" s="106"/>
      <c r="K39" s="102" t="s">
        <v>257</v>
      </c>
      <c r="L39" s="103"/>
      <c r="M39" s="104">
        <v>8</v>
      </c>
      <c r="N39" s="104">
        <v>1</v>
      </c>
      <c r="O39" s="104" t="s">
        <v>219</v>
      </c>
      <c r="P39" s="104" t="s">
        <v>220</v>
      </c>
      <c r="Q39" s="104" t="s">
        <v>221</v>
      </c>
    </row>
    <row r="40" spans="1:17" ht="12.6" customHeight="1" x14ac:dyDescent="0.3">
      <c r="A40" s="94" t="s">
        <v>248</v>
      </c>
      <c r="B40" s="107" t="s">
        <v>249</v>
      </c>
      <c r="K40" s="93" t="s">
        <v>209</v>
      </c>
      <c r="L40" s="2"/>
      <c r="M40" s="101">
        <v>7</v>
      </c>
      <c r="N40" s="101">
        <v>2</v>
      </c>
      <c r="O40" s="101" t="s">
        <v>219</v>
      </c>
      <c r="P40" s="101" t="s">
        <v>220</v>
      </c>
      <c r="Q40" s="101" t="s">
        <v>221</v>
      </c>
    </row>
    <row r="41" spans="1:17" ht="12.6" customHeight="1" x14ac:dyDescent="0.3">
      <c r="A41" s="94">
        <v>1</v>
      </c>
      <c r="B41" s="105" t="s">
        <v>250</v>
      </c>
      <c r="C41" s="105"/>
      <c r="D41" s="105"/>
      <c r="E41" s="105"/>
      <c r="F41" s="105"/>
      <c r="G41" s="105"/>
      <c r="H41" s="105"/>
      <c r="I41" s="105"/>
      <c r="J41" s="105"/>
      <c r="K41" s="102" t="s">
        <v>210</v>
      </c>
      <c r="L41" s="103"/>
      <c r="M41" s="104">
        <v>6</v>
      </c>
      <c r="N41" s="104">
        <v>2</v>
      </c>
      <c r="O41" s="104" t="s">
        <v>219</v>
      </c>
      <c r="P41" s="104" t="s">
        <v>220</v>
      </c>
      <c r="Q41" s="104" t="s">
        <v>221</v>
      </c>
    </row>
    <row r="42" spans="1:17" ht="12.6" customHeight="1" x14ac:dyDescent="0.3">
      <c r="A42" s="94">
        <v>2</v>
      </c>
      <c r="B42" s="107" t="s">
        <v>252</v>
      </c>
      <c r="K42" s="93" t="s">
        <v>211</v>
      </c>
      <c r="L42" s="2"/>
      <c r="M42" s="101">
        <v>5</v>
      </c>
      <c r="N42" s="101">
        <v>2</v>
      </c>
      <c r="O42" s="101" t="s">
        <v>221</v>
      </c>
      <c r="P42" s="101" t="s">
        <v>220</v>
      </c>
      <c r="Q42" s="101" t="s">
        <v>220</v>
      </c>
    </row>
    <row r="43" spans="1:17" ht="12.6" customHeight="1" x14ac:dyDescent="0.3">
      <c r="A43" s="94">
        <v>3</v>
      </c>
      <c r="B43" s="105" t="s">
        <v>251</v>
      </c>
      <c r="C43" s="105"/>
      <c r="D43" s="105"/>
      <c r="E43" s="105"/>
      <c r="F43" s="105"/>
      <c r="G43" s="105"/>
      <c r="H43" s="105"/>
      <c r="I43" s="105"/>
      <c r="J43" s="105"/>
      <c r="K43" s="102" t="s">
        <v>213</v>
      </c>
      <c r="L43" s="103"/>
      <c r="M43" s="104">
        <v>4</v>
      </c>
      <c r="N43" s="104">
        <v>3</v>
      </c>
      <c r="O43" s="104" t="s">
        <v>220</v>
      </c>
      <c r="P43" s="104" t="s">
        <v>220</v>
      </c>
      <c r="Q43" s="104" t="s">
        <v>47</v>
      </c>
    </row>
    <row r="44" spans="1:17" ht="12.6" customHeight="1" x14ac:dyDescent="0.3">
      <c r="A44" s="94"/>
      <c r="B44" s="108"/>
      <c r="C44" s="15"/>
      <c r="D44" s="15"/>
      <c r="E44" s="15"/>
      <c r="G44" s="15"/>
      <c r="H44" s="15"/>
      <c r="I44" s="15"/>
      <c r="J44" s="3"/>
      <c r="K44" s="93" t="s">
        <v>214</v>
      </c>
      <c r="L44" s="2"/>
      <c r="M44" s="101">
        <v>3</v>
      </c>
      <c r="N44" s="101">
        <v>3</v>
      </c>
      <c r="O44" s="101" t="s">
        <v>220</v>
      </c>
      <c r="P44" s="101" t="s">
        <v>220</v>
      </c>
      <c r="Q44" s="101" t="s">
        <v>47</v>
      </c>
    </row>
    <row r="45" spans="1:17" ht="12.6" customHeight="1" x14ac:dyDescent="0.3">
      <c r="A45" t="s">
        <v>254</v>
      </c>
      <c r="B45" s="108"/>
      <c r="C45" s="15"/>
      <c r="D45" s="15"/>
      <c r="E45" s="15"/>
      <c r="F45" s="109"/>
      <c r="G45" s="15"/>
      <c r="H45" s="15"/>
      <c r="I45" s="15"/>
      <c r="J45" s="3"/>
      <c r="K45" s="102" t="s">
        <v>258</v>
      </c>
      <c r="L45" s="103"/>
      <c r="M45" s="104">
        <v>2</v>
      </c>
      <c r="N45" s="104">
        <v>3</v>
      </c>
      <c r="O45" s="104" t="s">
        <v>220</v>
      </c>
      <c r="P45" s="104" t="s">
        <v>220</v>
      </c>
      <c r="Q45" s="104" t="s">
        <v>47</v>
      </c>
    </row>
    <row r="46" spans="1:17" ht="12.6" customHeight="1" x14ac:dyDescent="0.3">
      <c r="A46" t="s">
        <v>253</v>
      </c>
      <c r="B46" s="108"/>
      <c r="C46" s="15"/>
      <c r="D46" s="15"/>
      <c r="E46" s="15"/>
      <c r="F46" s="15"/>
      <c r="G46" s="15"/>
      <c r="H46" s="15"/>
      <c r="I46" s="15"/>
      <c r="J46" s="3"/>
      <c r="K46" s="93" t="s">
        <v>212</v>
      </c>
      <c r="L46" s="2"/>
      <c r="M46" s="101">
        <v>-1</v>
      </c>
      <c r="N46" s="101">
        <v>2</v>
      </c>
      <c r="O46" s="101"/>
      <c r="P46" s="101"/>
      <c r="Q46" s="101"/>
    </row>
    <row r="47" spans="1:17" ht="12.6" customHeight="1" x14ac:dyDescent="0.3">
      <c r="A47" t="s">
        <v>255</v>
      </c>
      <c r="B47" s="108"/>
      <c r="C47" s="15"/>
      <c r="D47" s="15"/>
      <c r="E47" s="15"/>
      <c r="F47" s="15"/>
      <c r="G47" s="15"/>
      <c r="H47" s="15"/>
      <c r="I47" s="15"/>
      <c r="J47" s="3"/>
      <c r="K47" s="102" t="s">
        <v>259</v>
      </c>
      <c r="L47" s="103"/>
      <c r="M47" s="104">
        <v>-2</v>
      </c>
      <c r="N47" s="104">
        <v>3</v>
      </c>
      <c r="O47" s="104" t="s">
        <v>260</v>
      </c>
      <c r="P47" s="104"/>
      <c r="Q47" s="104"/>
    </row>
    <row r="48" spans="1:17" ht="12.6" customHeight="1" x14ac:dyDescent="0.3">
      <c r="A48" t="s">
        <v>256</v>
      </c>
      <c r="B48" s="15"/>
      <c r="C48" s="15"/>
      <c r="D48" s="15"/>
      <c r="E48" s="15"/>
      <c r="F48" s="15"/>
      <c r="G48" s="15"/>
      <c r="H48" s="15"/>
      <c r="I48" s="15"/>
      <c r="J48" s="3"/>
      <c r="Q48" s="230" t="s">
        <v>388</v>
      </c>
    </row>
    <row r="49" spans="1:17" ht="12.6" customHeight="1" x14ac:dyDescent="0.3">
      <c r="A49" s="14"/>
      <c r="Q49" s="110"/>
    </row>
    <row r="50" spans="1:17" ht="12.6" customHeight="1" x14ac:dyDescent="0.3"/>
    <row r="51" spans="1:17" ht="17.399999999999999" customHeight="1" x14ac:dyDescent="0.3">
      <c r="A51" s="14"/>
    </row>
    <row r="52" spans="1:17" ht="17.399999999999999" customHeight="1" x14ac:dyDescent="0.3">
      <c r="A52" s="14"/>
    </row>
    <row r="53" spans="1:17" ht="17.399999999999999" customHeight="1" x14ac:dyDescent="0.3">
      <c r="A53" s="14"/>
    </row>
    <row r="54" spans="1:17" ht="17.399999999999999" customHeight="1" x14ac:dyDescent="0.3">
      <c r="A54" s="15"/>
    </row>
    <row r="55" spans="1:17" ht="17.399999999999999" customHeight="1" x14ac:dyDescent="0.3">
      <c r="A55" s="6"/>
    </row>
    <row r="56" spans="1:17" ht="17.399999999999999" customHeight="1" x14ac:dyDescent="0.3"/>
    <row r="57" spans="1:17" ht="17.399999999999999" customHeight="1" x14ac:dyDescent="0.3"/>
    <row r="58" spans="1:17" ht="17.399999999999999" customHeight="1" x14ac:dyDescent="0.3"/>
    <row r="59" spans="1:17" ht="17.399999999999999" customHeight="1" x14ac:dyDescent="0.3"/>
    <row r="60" spans="1:17" ht="17.399999999999999" customHeight="1" x14ac:dyDescent="0.3"/>
    <row r="61" spans="1:17" ht="17.399999999999999" customHeight="1" x14ac:dyDescent="0.3"/>
    <row r="62" spans="1:17" ht="17.399999999999999" customHeight="1" x14ac:dyDescent="0.3"/>
    <row r="63" spans="1:17" ht="17.399999999999999" customHeight="1" x14ac:dyDescent="0.3"/>
    <row r="64" spans="1:17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tabSelected="1" zoomScale="120" zoomScaleNormal="120" workbookViewId="0">
      <selection activeCell="A42" sqref="A42"/>
    </sheetView>
  </sheetViews>
  <sheetFormatPr defaultRowHeight="14.4" x14ac:dyDescent="0.3"/>
  <cols>
    <col min="1" max="1" width="27.5546875" style="166" bestFit="1" customWidth="1"/>
    <col min="2" max="2" width="5.77734375" style="165" customWidth="1"/>
    <col min="3" max="3" width="9" style="165" customWidth="1"/>
    <col min="4" max="4" width="6.33203125" style="165" customWidth="1"/>
    <col min="5" max="5" width="52.21875" style="164" customWidth="1"/>
    <col min="6" max="16384" width="8.88671875" style="164"/>
  </cols>
  <sheetData>
    <row r="1" spans="1:16" ht="21" x14ac:dyDescent="0.3">
      <c r="A1" s="168" t="s">
        <v>45</v>
      </c>
      <c r="B1" s="167" t="s">
        <v>44</v>
      </c>
      <c r="C1" s="167" t="s">
        <v>262</v>
      </c>
      <c r="D1" s="167" t="s">
        <v>46</v>
      </c>
      <c r="E1" s="165" t="s">
        <v>27</v>
      </c>
      <c r="F1" s="191" t="s">
        <v>356</v>
      </c>
      <c r="G1" s="191"/>
      <c r="H1" s="191"/>
      <c r="I1" s="191"/>
      <c r="J1" s="191"/>
      <c r="K1" s="191"/>
      <c r="L1" s="191"/>
      <c r="M1" s="191"/>
      <c r="N1" s="191"/>
      <c r="O1" s="191"/>
      <c r="P1" s="191"/>
    </row>
    <row r="2" spans="1:16" ht="28.8" x14ac:dyDescent="0.3">
      <c r="A2" s="166" t="s">
        <v>263</v>
      </c>
      <c r="B2" s="165">
        <v>6</v>
      </c>
      <c r="C2" s="165" t="s">
        <v>264</v>
      </c>
      <c r="D2" s="165">
        <v>1</v>
      </c>
      <c r="E2" s="164" t="s">
        <v>320</v>
      </c>
    </row>
    <row r="3" spans="1:16" ht="28.8" x14ac:dyDescent="0.3">
      <c r="A3" s="166" t="s">
        <v>265</v>
      </c>
      <c r="B3" s="165">
        <v>4</v>
      </c>
      <c r="C3" s="165" t="s">
        <v>264</v>
      </c>
      <c r="D3" s="165">
        <v>1</v>
      </c>
      <c r="E3" s="164" t="s">
        <v>343</v>
      </c>
    </row>
    <row r="4" spans="1:16" ht="28.8" x14ac:dyDescent="0.3">
      <c r="A4" s="166" t="s">
        <v>266</v>
      </c>
      <c r="B4" s="165">
        <v>10</v>
      </c>
      <c r="C4" s="165" t="s">
        <v>264</v>
      </c>
      <c r="D4" s="165">
        <v>1</v>
      </c>
      <c r="E4" s="164" t="s">
        <v>344</v>
      </c>
    </row>
    <row r="5" spans="1:16" ht="57.6" x14ac:dyDescent="0.3">
      <c r="A5" s="166" t="s">
        <v>267</v>
      </c>
      <c r="B5" s="165">
        <v>6</v>
      </c>
      <c r="C5" s="165" t="s">
        <v>268</v>
      </c>
      <c r="D5" s="165" t="s">
        <v>303</v>
      </c>
      <c r="E5" s="164" t="s">
        <v>345</v>
      </c>
    </row>
    <row r="6" spans="1:16" ht="28.8" x14ac:dyDescent="0.3">
      <c r="A6" s="166" t="s">
        <v>269</v>
      </c>
      <c r="B6" s="165">
        <v>4</v>
      </c>
      <c r="C6" s="165" t="s">
        <v>270</v>
      </c>
      <c r="D6" s="165">
        <v>1</v>
      </c>
      <c r="E6" s="164" t="s">
        <v>346</v>
      </c>
    </row>
    <row r="7" spans="1:16" ht="28.8" x14ac:dyDescent="0.3">
      <c r="A7" s="166" t="s">
        <v>271</v>
      </c>
      <c r="B7" s="165">
        <v>6</v>
      </c>
      <c r="C7" s="165" t="s">
        <v>272</v>
      </c>
      <c r="D7" s="165">
        <v>0</v>
      </c>
      <c r="E7" s="164" t="s">
        <v>321</v>
      </c>
    </row>
    <row r="8" spans="1:16" ht="28.8" x14ac:dyDescent="0.3">
      <c r="A8" s="166" t="s">
        <v>273</v>
      </c>
      <c r="B8" s="165">
        <v>6</v>
      </c>
      <c r="C8" s="165" t="s">
        <v>264</v>
      </c>
      <c r="D8" s="165">
        <v>1</v>
      </c>
      <c r="E8" s="164" t="s">
        <v>322</v>
      </c>
    </row>
    <row r="9" spans="1:16" ht="28.8" x14ac:dyDescent="0.3">
      <c r="A9" s="166" t="s">
        <v>274</v>
      </c>
      <c r="B9" s="165">
        <v>4</v>
      </c>
      <c r="C9" s="165" t="s">
        <v>268</v>
      </c>
      <c r="D9" s="165">
        <v>1</v>
      </c>
      <c r="E9" s="164" t="s">
        <v>323</v>
      </c>
    </row>
    <row r="10" spans="1:16" ht="28.8" x14ac:dyDescent="0.3">
      <c r="A10" s="166" t="s">
        <v>275</v>
      </c>
      <c r="B10" s="165">
        <v>2</v>
      </c>
      <c r="C10" s="165" t="s">
        <v>268</v>
      </c>
      <c r="D10" s="165">
        <v>1</v>
      </c>
      <c r="E10" s="164" t="s">
        <v>324</v>
      </c>
    </row>
    <row r="11" spans="1:16" x14ac:dyDescent="0.3">
      <c r="A11" s="166" t="s">
        <v>276</v>
      </c>
      <c r="B11" s="165">
        <v>10</v>
      </c>
      <c r="C11" s="165" t="s">
        <v>264</v>
      </c>
      <c r="D11" s="165">
        <v>0</v>
      </c>
      <c r="E11" s="164" t="s">
        <v>325</v>
      </c>
    </row>
    <row r="12" spans="1:16" ht="43.2" x14ac:dyDescent="0.3">
      <c r="A12" s="166" t="s">
        <v>277</v>
      </c>
      <c r="B12" s="165">
        <v>12</v>
      </c>
      <c r="C12" s="165" t="s">
        <v>278</v>
      </c>
      <c r="D12" s="165" t="s">
        <v>326</v>
      </c>
      <c r="E12" s="164" t="s">
        <v>347</v>
      </c>
    </row>
    <row r="13" spans="1:16" x14ac:dyDescent="0.3">
      <c r="A13" s="166" t="s">
        <v>279</v>
      </c>
      <c r="B13" s="165">
        <v>8</v>
      </c>
      <c r="C13" s="165" t="s">
        <v>272</v>
      </c>
      <c r="D13" s="165">
        <v>1</v>
      </c>
      <c r="E13" s="164" t="s">
        <v>327</v>
      </c>
    </row>
    <row r="14" spans="1:16" x14ac:dyDescent="0.3">
      <c r="A14" s="166" t="s">
        <v>280</v>
      </c>
      <c r="B14" s="165">
        <v>6</v>
      </c>
      <c r="C14" s="165" t="s">
        <v>270</v>
      </c>
      <c r="D14" s="165">
        <v>1</v>
      </c>
      <c r="E14" s="164" t="s">
        <v>328</v>
      </c>
    </row>
    <row r="15" spans="1:16" x14ac:dyDescent="0.3">
      <c r="A15" s="166" t="s">
        <v>281</v>
      </c>
      <c r="B15" s="165">
        <v>10</v>
      </c>
      <c r="C15" s="165" t="s">
        <v>329</v>
      </c>
      <c r="D15" s="165">
        <v>1</v>
      </c>
      <c r="E15" s="164" t="s">
        <v>330</v>
      </c>
    </row>
    <row r="16" spans="1:16" ht="28.8" x14ac:dyDescent="0.3">
      <c r="A16" s="166" t="s">
        <v>282</v>
      </c>
      <c r="B16" s="165">
        <v>10</v>
      </c>
      <c r="C16" s="165" t="s">
        <v>283</v>
      </c>
      <c r="D16" s="165" t="s">
        <v>326</v>
      </c>
      <c r="E16" s="164" t="s">
        <v>331</v>
      </c>
    </row>
    <row r="17" spans="1:16" x14ac:dyDescent="0.3">
      <c r="A17" s="166" t="s">
        <v>284</v>
      </c>
      <c r="B17" s="165">
        <v>6</v>
      </c>
      <c r="C17" s="165" t="s">
        <v>285</v>
      </c>
      <c r="D17" s="165" t="s">
        <v>326</v>
      </c>
      <c r="E17" s="164" t="s">
        <v>332</v>
      </c>
    </row>
    <row r="18" spans="1:16" ht="28.8" x14ac:dyDescent="0.3">
      <c r="A18" s="166" t="s">
        <v>286</v>
      </c>
      <c r="B18" s="165">
        <v>2</v>
      </c>
      <c r="C18" s="165" t="s">
        <v>287</v>
      </c>
      <c r="D18" s="165" t="s">
        <v>326</v>
      </c>
      <c r="E18" s="164" t="s">
        <v>333</v>
      </c>
    </row>
    <row r="19" spans="1:16" ht="43.2" x14ac:dyDescent="0.3">
      <c r="A19" s="166" t="s">
        <v>288</v>
      </c>
      <c r="B19" s="165">
        <v>2</v>
      </c>
      <c r="C19" s="165" t="s">
        <v>289</v>
      </c>
      <c r="D19" s="165" t="s">
        <v>326</v>
      </c>
      <c r="E19" s="164" t="s">
        <v>334</v>
      </c>
    </row>
    <row r="20" spans="1:16" ht="28.8" x14ac:dyDescent="0.3">
      <c r="A20" s="166" t="s">
        <v>305</v>
      </c>
      <c r="B20" s="165">
        <v>3</v>
      </c>
      <c r="C20" s="165" t="s">
        <v>289</v>
      </c>
      <c r="D20" s="165" t="s">
        <v>326</v>
      </c>
      <c r="E20" s="164" t="s">
        <v>335</v>
      </c>
    </row>
    <row r="21" spans="1:16" ht="28.8" x14ac:dyDescent="0.3">
      <c r="A21" s="166" t="s">
        <v>306</v>
      </c>
      <c r="B21" s="165">
        <v>2</v>
      </c>
      <c r="C21" s="165" t="s">
        <v>287</v>
      </c>
      <c r="D21" s="165" t="s">
        <v>326</v>
      </c>
      <c r="E21" s="164" t="s">
        <v>336</v>
      </c>
    </row>
    <row r="22" spans="1:16" ht="43.2" x14ac:dyDescent="0.3">
      <c r="A22" s="166" t="s">
        <v>290</v>
      </c>
      <c r="B22" s="165">
        <v>4</v>
      </c>
      <c r="C22" s="165" t="s">
        <v>289</v>
      </c>
      <c r="D22" s="165" t="s">
        <v>326</v>
      </c>
      <c r="E22" s="164" t="s">
        <v>348</v>
      </c>
    </row>
    <row r="23" spans="1:16" ht="43.2" x14ac:dyDescent="0.3">
      <c r="A23" s="166" t="s">
        <v>307</v>
      </c>
      <c r="B23" s="165">
        <v>2</v>
      </c>
      <c r="C23" s="165" t="s">
        <v>308</v>
      </c>
      <c r="D23" s="165" t="s">
        <v>326</v>
      </c>
      <c r="E23" s="164" t="s">
        <v>349</v>
      </c>
    </row>
    <row r="24" spans="1:16" ht="28.8" x14ac:dyDescent="0.3">
      <c r="A24" s="166" t="s">
        <v>291</v>
      </c>
      <c r="B24" s="165">
        <v>3</v>
      </c>
      <c r="C24" s="165" t="s">
        <v>292</v>
      </c>
      <c r="D24" s="165">
        <v>0</v>
      </c>
      <c r="E24" s="164" t="s">
        <v>350</v>
      </c>
    </row>
    <row r="25" spans="1:16" ht="28.8" x14ac:dyDescent="0.3">
      <c r="A25" s="166" t="s">
        <v>293</v>
      </c>
      <c r="B25" s="165">
        <v>2</v>
      </c>
      <c r="C25" s="165" t="s">
        <v>292</v>
      </c>
      <c r="D25" s="165">
        <v>0</v>
      </c>
      <c r="E25" s="164" t="s">
        <v>337</v>
      </c>
      <c r="F25" s="194" t="s">
        <v>357</v>
      </c>
      <c r="G25" s="195"/>
      <c r="H25" s="195"/>
      <c r="I25" s="195"/>
      <c r="J25" s="195"/>
      <c r="K25" s="195"/>
      <c r="L25" s="195"/>
      <c r="M25" s="195"/>
      <c r="N25" s="195"/>
      <c r="O25" s="195"/>
      <c r="P25" s="196" t="s">
        <v>358</v>
      </c>
    </row>
    <row r="26" spans="1:16" ht="18" x14ac:dyDescent="0.3">
      <c r="A26" s="169" t="s">
        <v>45</v>
      </c>
      <c r="B26" s="170" t="s">
        <v>44</v>
      </c>
      <c r="C26" s="170" t="s">
        <v>262</v>
      </c>
      <c r="D26" s="170" t="s">
        <v>46</v>
      </c>
      <c r="E26" s="193" t="s">
        <v>27</v>
      </c>
    </row>
    <row r="27" spans="1:16" ht="28.8" x14ac:dyDescent="0.3">
      <c r="A27" s="166" t="s">
        <v>294</v>
      </c>
      <c r="B27" s="165">
        <v>2</v>
      </c>
      <c r="C27" s="165" t="s">
        <v>295</v>
      </c>
      <c r="D27" s="165">
        <v>0</v>
      </c>
      <c r="E27" s="164" t="s">
        <v>338</v>
      </c>
    </row>
    <row r="28" spans="1:16" ht="57.6" x14ac:dyDescent="0.3">
      <c r="A28" s="166" t="s">
        <v>296</v>
      </c>
      <c r="B28" s="165">
        <v>2</v>
      </c>
      <c r="C28" s="165" t="s">
        <v>295</v>
      </c>
      <c r="D28" s="165">
        <v>0</v>
      </c>
      <c r="E28" s="164" t="s">
        <v>351</v>
      </c>
    </row>
    <row r="29" spans="1:16" ht="43.2" x14ac:dyDescent="0.3">
      <c r="A29" s="166" t="s">
        <v>297</v>
      </c>
      <c r="B29" s="165">
        <v>1</v>
      </c>
      <c r="C29" s="165" t="s">
        <v>289</v>
      </c>
      <c r="D29" s="165">
        <v>0</v>
      </c>
      <c r="E29" s="164" t="s">
        <v>352</v>
      </c>
    </row>
    <row r="30" spans="1:16" ht="43.2" x14ac:dyDescent="0.3">
      <c r="A30" s="166" t="s">
        <v>298</v>
      </c>
      <c r="B30" s="165">
        <v>1</v>
      </c>
      <c r="C30" s="165" t="s">
        <v>289</v>
      </c>
      <c r="D30" s="165">
        <v>0</v>
      </c>
      <c r="E30" s="164" t="s">
        <v>353</v>
      </c>
    </row>
    <row r="31" spans="1:16" ht="28.8" x14ac:dyDescent="0.3">
      <c r="A31" s="166" t="s">
        <v>299</v>
      </c>
      <c r="B31" s="165">
        <v>4</v>
      </c>
      <c r="C31" s="165" t="s">
        <v>292</v>
      </c>
      <c r="D31" s="165">
        <v>0</v>
      </c>
      <c r="E31" s="164" t="s">
        <v>339</v>
      </c>
    </row>
    <row r="32" spans="1:16" ht="28.8" x14ac:dyDescent="0.3">
      <c r="A32" s="166" t="s">
        <v>300</v>
      </c>
      <c r="B32" s="165">
        <v>2</v>
      </c>
      <c r="C32" s="165" t="s">
        <v>292</v>
      </c>
      <c r="D32" s="165">
        <v>0</v>
      </c>
      <c r="E32" s="164" t="s">
        <v>340</v>
      </c>
    </row>
    <row r="33" spans="1:5" ht="57.6" x14ac:dyDescent="0.3">
      <c r="A33" s="166" t="s">
        <v>301</v>
      </c>
      <c r="B33" s="165">
        <v>3</v>
      </c>
      <c r="C33" s="165" t="s">
        <v>292</v>
      </c>
      <c r="D33" s="165">
        <v>0</v>
      </c>
      <c r="E33" s="164" t="s">
        <v>354</v>
      </c>
    </row>
    <row r="34" spans="1:5" ht="43.2" x14ac:dyDescent="0.3">
      <c r="A34" s="166" t="s">
        <v>302</v>
      </c>
      <c r="B34" s="165">
        <v>2</v>
      </c>
      <c r="C34" s="165" t="s">
        <v>295</v>
      </c>
      <c r="D34" s="165">
        <v>0</v>
      </c>
      <c r="E34" s="164" t="s">
        <v>355</v>
      </c>
    </row>
    <row r="35" spans="1:5" ht="28.8" x14ac:dyDescent="0.3">
      <c r="A35" s="166" t="s">
        <v>304</v>
      </c>
      <c r="B35" s="165">
        <v>2</v>
      </c>
      <c r="C35" s="165" t="s">
        <v>289</v>
      </c>
      <c r="D35" s="165">
        <v>0</v>
      </c>
      <c r="E35" s="164" t="s">
        <v>341</v>
      </c>
    </row>
    <row r="36" spans="1:5" x14ac:dyDescent="0.3">
      <c r="A36" s="192"/>
      <c r="B36" s="192"/>
      <c r="C36" s="192"/>
      <c r="D36" s="192"/>
      <c r="E36" s="192"/>
    </row>
    <row r="37" spans="1:5" ht="28.8" x14ac:dyDescent="0.3">
      <c r="A37" s="166" t="s">
        <v>309</v>
      </c>
      <c r="B37" s="166">
        <v>3</v>
      </c>
      <c r="C37" s="166" t="s">
        <v>313</v>
      </c>
      <c r="D37" s="166">
        <v>0</v>
      </c>
      <c r="E37" s="166" t="s">
        <v>342</v>
      </c>
    </row>
    <row r="38" spans="1:5" ht="28.8" x14ac:dyDescent="0.3">
      <c r="A38" s="192" t="s">
        <v>310</v>
      </c>
      <c r="B38" s="192">
        <v>2</v>
      </c>
      <c r="C38" s="192" t="s">
        <v>292</v>
      </c>
      <c r="D38" s="192">
        <v>1</v>
      </c>
      <c r="E38" s="192" t="s">
        <v>316</v>
      </c>
    </row>
    <row r="39" spans="1:5" ht="28.8" x14ac:dyDescent="0.3">
      <c r="A39" s="166" t="s">
        <v>311</v>
      </c>
      <c r="B39" s="166">
        <v>4</v>
      </c>
      <c r="C39" s="166" t="s">
        <v>314</v>
      </c>
      <c r="D39" s="166">
        <v>0</v>
      </c>
      <c r="E39" s="166" t="s">
        <v>317</v>
      </c>
    </row>
    <row r="40" spans="1:5" ht="28.8" x14ac:dyDescent="0.3">
      <c r="A40" s="192" t="s">
        <v>312</v>
      </c>
      <c r="B40" s="192">
        <v>3</v>
      </c>
      <c r="C40" s="192" t="s">
        <v>315</v>
      </c>
      <c r="D40" s="192">
        <v>1</v>
      </c>
      <c r="E40" s="192" t="s">
        <v>318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Retro</vt:lpstr>
      <vt:lpstr>Emporio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2025-12-21T02:34:16Z</cp:lastPrinted>
  <dcterms:created xsi:type="dcterms:W3CDTF">2025-12-03T19:05:58Z</dcterms:created>
  <dcterms:modified xsi:type="dcterms:W3CDTF">2025-12-21T02:44:36Z</dcterms:modified>
</cp:coreProperties>
</file>